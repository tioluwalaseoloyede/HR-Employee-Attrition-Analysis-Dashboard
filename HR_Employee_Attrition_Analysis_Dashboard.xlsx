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paa/Downloads/"/>
    </mc:Choice>
  </mc:AlternateContent>
  <xr:revisionPtr revIDLastSave="0" documentId="13_ncr:1_{EC7FE770-BCD6-284F-95EB-6A036FA64AD7}" xr6:coauthVersionLast="47" xr6:coauthVersionMax="47" xr10:uidLastSave="{00000000-0000-0000-0000-000000000000}"/>
  <bookViews>
    <workbookView xWindow="0" yWindow="660" windowWidth="30240" windowHeight="17780" activeTab="4" xr2:uid="{03CDAA7F-EAA8-2240-BDC5-32C425C6483A}"/>
  </bookViews>
  <sheets>
    <sheet name="WA_Fn-UseC_-HR-Employee-Attriti" sheetId="1" r:id="rId1"/>
    <sheet name="Pivot Analyze" sheetId="4" r:id="rId2"/>
    <sheet name="Cleaned Data" sheetId="2" r:id="rId3"/>
    <sheet name="Data Quality" sheetId="3" r:id="rId4"/>
    <sheet name="Dashboard" sheetId="5" r:id="rId5"/>
  </sheets>
  <calcPr calcId="191029"/>
  <pivotCaches>
    <pivotCache cacheId="4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5" l="1"/>
  <c r="A14" i="5"/>
  <c r="A13" i="5"/>
  <c r="A12" i="5"/>
  <c r="A11" i="5"/>
  <c r="A10" i="5"/>
  <c r="J6" i="5"/>
  <c r="J5" i="5"/>
  <c r="G6" i="5"/>
  <c r="D5" i="5"/>
  <c r="A5" i="5"/>
  <c r="K28" i="4"/>
  <c r="K27" i="4"/>
  <c r="K20" i="4"/>
  <c r="K21" i="4"/>
  <c r="K22" i="4"/>
  <c r="K19" i="4"/>
  <c r="K12" i="4"/>
  <c r="K13" i="4"/>
  <c r="K14" i="4"/>
  <c r="K11" i="4"/>
  <c r="K4" i="4"/>
  <c r="K5" i="4"/>
  <c r="K6" i="4"/>
  <c r="K3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24" i="4"/>
  <c r="E4" i="4"/>
  <c r="E5" i="4"/>
  <c r="E3" i="4"/>
</calcChain>
</file>

<file path=xl/sharedStrings.xml><?xml version="1.0" encoding="utf-8"?>
<sst xmlns="http://schemas.openxmlformats.org/spreadsheetml/2006/main" count="29600" uniqueCount="143">
  <si>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</si>
  <si>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</si>
  <si>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</si>
  <si>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</si>
  <si>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</si>
  <si>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</si>
  <si>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</si>
  <si>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</si>
  <si>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</si>
  <si>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</si>
  <si>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</si>
  <si>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</si>
  <si>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</si>
  <si>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</si>
  <si>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</si>
  <si>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</si>
  <si>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</si>
  <si>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</si>
  <si>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</si>
  <si>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</si>
  <si>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</si>
  <si>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</si>
  <si>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</si>
  <si>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</si>
  <si>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</si>
  <si>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</si>
  <si>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</si>
  <si>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</si>
  <si>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</si>
  <si>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</si>
  <si>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</si>
  <si>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</si>
  <si>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</si>
  <si>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</si>
  <si>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</si>
  <si>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</si>
  <si>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</si>
  <si>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</si>
  <si>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</si>
  <si>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</si>
  <si>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</si>
  <si>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</si>
  <si>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</si>
  <si>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</si>
  <si>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</si>
  <si>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</si>
  <si>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</si>
  <si>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</si>
  <si>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</si>
  <si>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</si>
  <si>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</si>
  <si>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</si>
  <si>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</si>
  <si>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</si>
  <si>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</si>
  <si>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</si>
  <si>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</si>
  <si>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</si>
  <si>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</si>
  <si>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</si>
  <si>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</si>
  <si>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</si>
  <si>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AttritionFlag</t>
  </si>
  <si>
    <t>OverTimeFlag</t>
  </si>
  <si>
    <t>AgeBand</t>
  </si>
  <si>
    <t>MonthlyIncomeBand</t>
  </si>
  <si>
    <t>TenureBand</t>
  </si>
  <si>
    <t>Travel Rarely</t>
  </si>
  <si>
    <t>35-44</t>
  </si>
  <si>
    <t>3K-5.9K</t>
  </si>
  <si>
    <t>5-9 years</t>
  </si>
  <si>
    <t>Travel Frequently</t>
  </si>
  <si>
    <t>45-54</t>
  </si>
  <si>
    <t>10+ years</t>
  </si>
  <si>
    <t>Under 3K</t>
  </si>
  <si>
    <t>&lt;2 years</t>
  </si>
  <si>
    <t>25-34</t>
  </si>
  <si>
    <t>2-4 years</t>
  </si>
  <si>
    <t>55+</t>
  </si>
  <si>
    <t>6K-9.9K</t>
  </si>
  <si>
    <t>18-24</t>
  </si>
  <si>
    <t>10K+</t>
  </si>
  <si>
    <t>HR DATA QUALITY &amp; PREPARATION REPORT</t>
  </si>
  <si>
    <t>Metric</t>
  </si>
  <si>
    <t>Result</t>
  </si>
  <si>
    <t>Source records</t>
  </si>
  <si>
    <t>Source columns</t>
  </si>
  <si>
    <t>Analysis-ready columns</t>
  </si>
  <si>
    <t>Blank cells</t>
  </si>
  <si>
    <t>Duplicate full records</t>
  </si>
  <si>
    <t>Duplicate EmployeeNumber values</t>
  </si>
  <si>
    <t>Tenure consistency issues</t>
  </si>
  <si>
    <t>Invalid category values</t>
  </si>
  <si>
    <t>Fields removed (zero variance)</t>
  </si>
  <si>
    <t>EmployeeCount; Over18; StandardHours</t>
  </si>
  <si>
    <t>Category standardized</t>
  </si>
  <si>
    <t>BusinessTravel underscores replaced with spaces</t>
  </si>
  <si>
    <t>Derived fields added</t>
  </si>
  <si>
    <t>AttritionFlag; OverTimeFlag; AgeBand; MonthlyIncomeBand; TenureBand</t>
  </si>
  <si>
    <t>Status</t>
  </si>
  <si>
    <t>Ready for analysis</t>
  </si>
  <si>
    <t>CODED SCALE GUIDE</t>
  </si>
  <si>
    <t>Meaning</t>
  </si>
  <si>
    <t>1 Below College; 2 College; 3 Bachelor; 4 Master; 5 Doctor</t>
  </si>
  <si>
    <t>1 Low; 2 Medium; 3 High; 4 Very High</t>
  </si>
  <si>
    <t>3 Excellent; 4 Outstanding</t>
  </si>
  <si>
    <t>1 Bad; 2 Good; 3 Better; 4 Best</t>
  </si>
  <si>
    <t>Ordinal level 0-3</t>
  </si>
  <si>
    <t>Grand Total</t>
  </si>
  <si>
    <t>Column Labels</t>
  </si>
  <si>
    <t>Sum of EmployeeCount</t>
  </si>
  <si>
    <t>Attrition %</t>
  </si>
  <si>
    <t>Average of MonthlyIncome</t>
  </si>
  <si>
    <t>Job satisfaction</t>
  </si>
  <si>
    <t>Environment satisfaction</t>
  </si>
  <si>
    <t>Work Life Balance</t>
  </si>
  <si>
    <t>Overtime</t>
  </si>
  <si>
    <t>Stayed</t>
  </si>
  <si>
    <t>Quit</t>
  </si>
  <si>
    <t>No overtime</t>
  </si>
  <si>
    <t>Job Roles</t>
  </si>
  <si>
    <t>Years At Company</t>
  </si>
  <si>
    <t>Department Attrition Analysis</t>
  </si>
  <si>
    <t>Compensation &amp; Attrition Analysis</t>
  </si>
  <si>
    <t>Tenure &amp; Attrition Analysis</t>
  </si>
  <si>
    <t>Job Satisfaction &amp; Attrition Analysis</t>
  </si>
  <si>
    <t>Environment Satisfaction &amp; Attrition Analysis</t>
  </si>
  <si>
    <t>Work-Life Balance &amp; Attrition Analysis</t>
  </si>
  <si>
    <t>Overtime &amp; Attrition Analysis</t>
  </si>
  <si>
    <t>HR ATTRITION ANALYSIS — KEY FINDINGS</t>
  </si>
  <si>
    <t>Employee attrition overview | 1,470 employee records | Analysis-ready summary</t>
  </si>
  <si>
    <t>OVERALL ATTRITION</t>
  </si>
  <si>
    <t>237 employees left</t>
  </si>
  <si>
    <t>EMPLOYEES ANALYZED</t>
  </si>
  <si>
    <t>Complete workforce dataset</t>
  </si>
  <si>
    <t>OVERTIME ATTRITION</t>
  </si>
  <si>
    <t>WHAT THE DATA SAYS</t>
  </si>
  <si>
    <t>MANAGEMENT PRIORITIES</t>
  </si>
  <si>
    <t>6. Work-Life Balance — The lowest-rated group had 31% attrition, compared with 17%, 14%, and 18% for the other  ratings."</t>
  </si>
  <si>
    <t>HIGHEST ATTRITION  RATE</t>
  </si>
  <si>
    <t>1. Review overtime workload and staffing, given the 31% attrition rate among overtime employees versus 10% among non-overtime employees.</t>
  </si>
  <si>
    <t>2. Strengthen first-year onboarding and manager check-ins, given the 36% attrition at Year 0 and 35% at Year 1.</t>
  </si>
  <si>
    <t>3. Investigate retention in Sales and among lower-satisfaction groups, particularly employees reporting low job satisfaction, environment satisfaction, or work-life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</si>
</sst>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262626"/>
      <name val="Aptos Narrow"/>
      <family val="2"/>
      <scheme val="minor"/>
    </font>
    <font>
      <sz val="12"/>
      <color rgb="FF26262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1F43"/>
      <name val="Aptos Narrow"/>
      <family val="2"/>
      <scheme val="minor"/>
    </font>
    <font>
      <sz val="12"/>
      <color rgb="FF595959"/>
      <name val="Aptos Narrow"/>
      <family val="2"/>
      <scheme val="minor"/>
    </font>
    <font>
      <sz val="12"/>
      <color rgb="FFC50F1F"/>
      <name val="Aptos Narrow"/>
      <family val="2"/>
      <scheme val="minor"/>
    </font>
    <font>
      <b/>
      <sz val="12"/>
      <color rgb="FFC50F1F"/>
      <name val="Aptos Narrow"/>
      <family val="2"/>
      <scheme val="minor"/>
    </font>
    <font>
      <b/>
      <sz val="12"/>
      <color rgb="FF001F43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8F8F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0" fontId="0" fillId="0" borderId="0" xfId="0" applyNumberFormat="1"/>
    <xf numFmtId="164" fontId="0" fillId="0" borderId="0" xfId="0" applyNumberFormat="1"/>
    <xf numFmtId="0" fontId="18" fillId="0" borderId="0" xfId="0" applyFont="1"/>
    <xf numFmtId="0" fontId="16" fillId="0" borderId="0" xfId="0" applyFont="1"/>
    <xf numFmtId="0" fontId="0" fillId="33" borderId="0" xfId="0" applyFill="1"/>
    <xf numFmtId="0" fontId="20" fillId="33" borderId="0" xfId="0" applyFont="1" applyFill="1"/>
    <xf numFmtId="0" fontId="20" fillId="33" borderId="0" xfId="0" applyFont="1" applyFill="1" applyAlignment="1">
      <alignment vertical="center"/>
    </xf>
    <xf numFmtId="0" fontId="20" fillId="33" borderId="13" xfId="0" applyFont="1" applyFill="1" applyBorder="1" applyAlignment="1">
      <alignment vertical="center" wrapText="1"/>
    </xf>
    <xf numFmtId="0" fontId="20" fillId="33" borderId="0" xfId="0" applyFont="1" applyFill="1" applyAlignment="1">
      <alignment vertical="center" wrapText="1"/>
    </xf>
    <xf numFmtId="0" fontId="20" fillId="33" borderId="16" xfId="0" applyFont="1" applyFill="1" applyBorder="1" applyAlignment="1">
      <alignment vertical="center" wrapText="1"/>
    </xf>
    <xf numFmtId="0" fontId="20" fillId="37" borderId="14" xfId="0" applyFont="1" applyFill="1" applyBorder="1" applyAlignment="1">
      <alignment vertical="center" wrapText="1"/>
    </xf>
    <xf numFmtId="0" fontId="20" fillId="37" borderId="11" xfId="0" applyFont="1" applyFill="1" applyBorder="1" applyAlignment="1">
      <alignment vertical="center" wrapText="1"/>
    </xf>
    <xf numFmtId="0" fontId="20" fillId="37" borderId="17" xfId="0" applyFont="1" applyFill="1" applyBorder="1" applyAlignment="1">
      <alignment vertical="center" wrapText="1"/>
    </xf>
    <xf numFmtId="0" fontId="23" fillId="35" borderId="12" xfId="0" applyFont="1" applyFill="1" applyBorder="1" applyAlignment="1">
      <alignment vertical="center"/>
    </xf>
    <xf numFmtId="0" fontId="23" fillId="35" borderId="10" xfId="0" applyFont="1" applyFill="1" applyBorder="1" applyAlignment="1">
      <alignment vertical="center"/>
    </xf>
    <xf numFmtId="10" fontId="19" fillId="35" borderId="13" xfId="0" applyNumberFormat="1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24" fillId="35" borderId="14" xfId="0" applyFont="1" applyFill="1" applyBorder="1" applyAlignment="1">
      <alignment vertical="center"/>
    </xf>
    <xf numFmtId="0" fontId="24" fillId="35" borderId="11" xfId="0" applyFont="1" applyFill="1" applyBorder="1" applyAlignment="1">
      <alignment vertical="center"/>
    </xf>
    <xf numFmtId="3" fontId="19" fillId="35" borderId="13" xfId="0" applyNumberFormat="1" applyFont="1" applyFill="1" applyBorder="1" applyAlignment="1">
      <alignment horizontal="center" vertical="center"/>
    </xf>
    <xf numFmtId="0" fontId="25" fillId="35" borderId="12" xfId="0" applyFont="1" applyFill="1" applyBorder="1" applyAlignment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3" xfId="0" applyFont="1" applyFill="1" applyBorder="1" applyAlignment="1">
      <alignment horizontal="center" vertical="center"/>
    </xf>
    <xf numFmtId="0" fontId="26" fillId="35" borderId="0" xfId="0" applyFont="1" applyFill="1" applyAlignment="1">
      <alignment horizontal="center" vertical="center"/>
    </xf>
    <xf numFmtId="0" fontId="20" fillId="37" borderId="13" xfId="0" applyFont="1" applyFill="1" applyBorder="1" applyAlignment="1">
      <alignment vertical="center" wrapText="1"/>
    </xf>
    <xf numFmtId="0" fontId="20" fillId="37" borderId="0" xfId="0" applyFont="1" applyFill="1" applyAlignment="1">
      <alignment vertical="center" wrapText="1"/>
    </xf>
    <xf numFmtId="0" fontId="20" fillId="37" borderId="16" xfId="0" applyFont="1" applyFill="1" applyBorder="1" applyAlignment="1">
      <alignment vertical="center" wrapText="1"/>
    </xf>
    <xf numFmtId="0" fontId="27" fillId="36" borderId="0" xfId="0" applyFont="1" applyFill="1" applyAlignment="1">
      <alignment vertical="center"/>
    </xf>
    <xf numFmtId="0" fontId="27" fillId="35" borderId="18" xfId="0" applyFont="1" applyFill="1" applyBorder="1" applyAlignment="1">
      <alignment vertical="center" wrapText="1"/>
    </xf>
    <xf numFmtId="0" fontId="27" fillId="35" borderId="19" xfId="0" applyFont="1" applyFill="1" applyBorder="1" applyAlignment="1">
      <alignment vertical="center" wrapText="1"/>
    </xf>
    <xf numFmtId="0" fontId="27" fillId="35" borderId="20" xfId="0" applyFont="1" applyFill="1" applyBorder="1" applyAlignment="1">
      <alignment vertical="center" wrapText="1"/>
    </xf>
    <xf numFmtId="0" fontId="21" fillId="34" borderId="0" xfId="0" applyFont="1" applyFill="1" applyAlignment="1">
      <alignment horizontal="center" vertical="center"/>
    </xf>
    <xf numFmtId="0" fontId="22" fillId="34" borderId="0" xfId="0" applyFont="1" applyFill="1" applyAlignment="1">
      <alignment vertical="center"/>
    </xf>
    <xf numFmtId="0" fontId="25" fillId="35" borderId="15" xfId="0" applyFont="1" applyFill="1" applyBorder="1" applyAlignment="1">
      <alignment vertical="center"/>
    </xf>
    <xf numFmtId="10" fontId="26" fillId="35" borderId="13" xfId="0" applyNumberFormat="1" applyFont="1" applyFill="1" applyBorder="1" applyAlignment="1">
      <alignment horizontal="center" vertical="center"/>
    </xf>
    <xf numFmtId="0" fontId="26" fillId="35" borderId="16" xfId="0" applyFont="1" applyFill="1" applyBorder="1" applyAlignment="1">
      <alignment horizontal="center" vertical="center"/>
    </xf>
    <xf numFmtId="0" fontId="24" fillId="35" borderId="17" xfId="0" applyFont="1" applyFill="1" applyBorder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[HR_Employee_Attrition_Analysis_Dashboard.xlsx]Pivot Analyze!Overtime &amp; Attrition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: Overtime vs Non-Overtime Employees.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Analyze'!$H$25:$H$26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Analyze'!$G$27:$G$29</c:f>
              <c:strCache>
                <c:ptCount val="2"/>
                <c:pt idx="0">
                  <c:v>No overtime</c:v>
                </c:pt>
                <c:pt idx="1">
                  <c:v>Overtime</c:v>
                </c:pt>
              </c:strCache>
            </c:strRef>
          </c:cat>
          <c:val>
            <c:numRef>
              <c:f>'Pivot Analyze'!$H$27:$H$29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3-D341-99AC-5DA6F14AB30B}"/>
            </c:ext>
          </c:extLst>
        </c:ser>
        <c:ser>
          <c:idx val="1"/>
          <c:order val="1"/>
          <c:tx>
            <c:strRef>
              <c:f>'Pivot Analyze'!$I$25:$I$26</c:f>
              <c:strCache>
                <c:ptCount val="1"/>
                <c:pt idx="0">
                  <c:v>Quit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Analyze'!$G$27:$G$29</c:f>
              <c:strCache>
                <c:ptCount val="2"/>
                <c:pt idx="0">
                  <c:v>No overtime</c:v>
                </c:pt>
                <c:pt idx="1">
                  <c:v>Overtime</c:v>
                </c:pt>
              </c:strCache>
            </c:strRef>
          </c:cat>
          <c:val>
            <c:numRef>
              <c:f>'Pivot Analyze'!$I$27:$I$29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3-D341-99AC-5DA6F14A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7701631"/>
        <c:axId val="2007705215"/>
      </c:barChart>
      <c:catAx>
        <c:axId val="200770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05215"/>
        <c:crosses val="autoZero"/>
        <c:auto val="1"/>
        <c:lblAlgn val="ctr"/>
        <c:lblOffset val="100"/>
        <c:noMultiLvlLbl val="0"/>
      </c:catAx>
      <c:valAx>
        <c:axId val="200770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0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[HR_Employee_Attrition_Analysis_Dashboard.xlsx]Pivot Analyze!Work-Life Balance &amp; Attrition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 Attrition by Work-Life Balance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US"/>
          </a:p>
        </c:rich>
      </c:tx>
      <c:layout>
        <c:manualLayout>
          <c:xMode val="edge"/>
          <c:yMode val="edge"/>
          <c:x val="0.14179347826086958"/>
          <c:y val="4.4776119402985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Analyze'!$H$17:$H$18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Analyze'!$G$19:$G$23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Analyze'!$H$19:$H$23</c:f>
              <c:numCache>
                <c:formatCode>General</c:formatCode>
                <c:ptCount val="4"/>
                <c:pt idx="0">
                  <c:v>55</c:v>
                </c:pt>
                <c:pt idx="1">
                  <c:v>286</c:v>
                </c:pt>
                <c:pt idx="2">
                  <c:v>766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0-AE43-AFF8-18EBC2C64AA2}"/>
            </c:ext>
          </c:extLst>
        </c:ser>
        <c:ser>
          <c:idx val="1"/>
          <c:order val="1"/>
          <c:tx>
            <c:strRef>
              <c:f>'Pivot Analyze'!$I$17:$I$18</c:f>
              <c:strCache>
                <c:ptCount val="1"/>
                <c:pt idx="0">
                  <c:v>Quit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Analyze'!$G$19:$G$23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Analyze'!$I$19:$I$23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70-AE43-AFF8-18EBC2C64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6235903"/>
        <c:axId val="2016231423"/>
      </c:barChart>
      <c:catAx>
        <c:axId val="201623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31423"/>
        <c:crosses val="autoZero"/>
        <c:auto val="1"/>
        <c:lblAlgn val="ctr"/>
        <c:lblOffset val="100"/>
        <c:noMultiLvlLbl val="0"/>
      </c:catAx>
      <c:valAx>
        <c:axId val="20162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3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[HR_Employee_Attrition_Analysis_Dashboard.xlsx]Pivot Analyze!Environment Satisfaction &amp; Attrition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 Attrition by Environment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Analyze'!$H$9:$H$10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Analyze'!$G$11:$G$15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Analyze'!$H$11:$H$15</c:f>
              <c:numCache>
                <c:formatCode>General</c:formatCode>
                <c:ptCount val="4"/>
                <c:pt idx="0">
                  <c:v>212</c:v>
                </c:pt>
                <c:pt idx="1">
                  <c:v>244</c:v>
                </c:pt>
                <c:pt idx="2">
                  <c:v>391</c:v>
                </c:pt>
                <c:pt idx="3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5-754A-BC7C-7EB8D84B8371}"/>
            </c:ext>
          </c:extLst>
        </c:ser>
        <c:ser>
          <c:idx val="1"/>
          <c:order val="1"/>
          <c:tx>
            <c:strRef>
              <c:f>'Pivot Analyze'!$I$9:$I$10</c:f>
              <c:strCache>
                <c:ptCount val="1"/>
                <c:pt idx="0">
                  <c:v>Quit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Analyze'!$G$11:$G$15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Analyze'!$I$11:$I$15</c:f>
              <c:numCache>
                <c:formatCode>General</c:formatCode>
                <c:ptCount val="4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5-754A-BC7C-7EB8D84B8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17023"/>
        <c:axId val="1977157823"/>
      </c:barChart>
      <c:catAx>
        <c:axId val="203041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157823"/>
        <c:crosses val="autoZero"/>
        <c:auto val="1"/>
        <c:lblAlgn val="ctr"/>
        <c:lblOffset val="100"/>
        <c:noMultiLvlLbl val="0"/>
      </c:catAx>
      <c:valAx>
        <c:axId val="197715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[HR_Employee_Attrition_Analysis_Dashboard.xlsx]Pivot Analyze!Job Satisfaction &amp; Attrition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 Attrition by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Analyze'!$H$1:$H$2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Analyze'!$G$3:$G$7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Analyze'!$H$3:$H$7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D-BA48-880B-340E3CD8DC13}"/>
            </c:ext>
          </c:extLst>
        </c:ser>
        <c:ser>
          <c:idx val="1"/>
          <c:order val="1"/>
          <c:tx>
            <c:strRef>
              <c:f>'Pivot Analyze'!$I$1:$I$2</c:f>
              <c:strCache>
                <c:ptCount val="1"/>
                <c:pt idx="0">
                  <c:v>Quit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Analyze'!$G$3:$G$7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Analyze'!$I$3:$I$7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D-BA48-880B-340E3CD8D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1184383"/>
        <c:axId val="2028487103"/>
      </c:barChart>
      <c:catAx>
        <c:axId val="20311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87103"/>
        <c:crosses val="autoZero"/>
        <c:auto val="1"/>
        <c:lblAlgn val="ctr"/>
        <c:lblOffset val="100"/>
        <c:noMultiLvlLbl val="0"/>
      </c:catAx>
      <c:valAx>
        <c:axId val="202848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1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[HR_Employee_Attrition_Analysis_Dashboard.xlsx]Pivot Analyze!Tenure &amp; Attrition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 Attrition by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Analyze'!$B$22:$B$23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Analyze'!$A$24:$A$61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'Pivot Analyze'!$B$24:$B$61</c:f>
              <c:numCache>
                <c:formatCode>General</c:formatCode>
                <c:ptCount val="37"/>
                <c:pt idx="0">
                  <c:v>28</c:v>
                </c:pt>
                <c:pt idx="1">
                  <c:v>112</c:v>
                </c:pt>
                <c:pt idx="2">
                  <c:v>100</c:v>
                </c:pt>
                <c:pt idx="3">
                  <c:v>108</c:v>
                </c:pt>
                <c:pt idx="4">
                  <c:v>91</c:v>
                </c:pt>
                <c:pt idx="5">
                  <c:v>175</c:v>
                </c:pt>
                <c:pt idx="6">
                  <c:v>67</c:v>
                </c:pt>
                <c:pt idx="7">
                  <c:v>79</c:v>
                </c:pt>
                <c:pt idx="8">
                  <c:v>71</c:v>
                </c:pt>
                <c:pt idx="9">
                  <c:v>74</c:v>
                </c:pt>
                <c:pt idx="10">
                  <c:v>102</c:v>
                </c:pt>
                <c:pt idx="11">
                  <c:v>30</c:v>
                </c:pt>
                <c:pt idx="12">
                  <c:v>14</c:v>
                </c:pt>
                <c:pt idx="13">
                  <c:v>22</c:v>
                </c:pt>
                <c:pt idx="14">
                  <c:v>16</c:v>
                </c:pt>
                <c:pt idx="15">
                  <c:v>19</c:v>
                </c:pt>
                <c:pt idx="16">
                  <c:v>11</c:v>
                </c:pt>
                <c:pt idx="17">
                  <c:v>8</c:v>
                </c:pt>
                <c:pt idx="18">
                  <c:v>12</c:v>
                </c:pt>
                <c:pt idx="19">
                  <c:v>10</c:v>
                </c:pt>
                <c:pt idx="20">
                  <c:v>26</c:v>
                </c:pt>
                <c:pt idx="21">
                  <c:v>13</c:v>
                </c:pt>
                <c:pt idx="22">
                  <c:v>14</c:v>
                </c:pt>
                <c:pt idx="23">
                  <c:v>1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5-8B4B-9A6F-9CFC452BA7A1}"/>
            </c:ext>
          </c:extLst>
        </c:ser>
        <c:ser>
          <c:idx val="1"/>
          <c:order val="1"/>
          <c:tx>
            <c:strRef>
              <c:f>'Pivot Analyze'!$C$22:$C$23</c:f>
              <c:strCache>
                <c:ptCount val="1"/>
                <c:pt idx="0">
                  <c:v>Quit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Analyze'!$A$24:$A$61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'Pivot Analyze'!$C$24:$C$61</c:f>
              <c:numCache>
                <c:formatCode>General</c:formatCode>
                <c:ptCount val="37"/>
                <c:pt idx="0">
                  <c:v>16</c:v>
                </c:pt>
                <c:pt idx="1">
                  <c:v>59</c:v>
                </c:pt>
                <c:pt idx="2">
                  <c:v>27</c:v>
                </c:pt>
                <c:pt idx="3">
                  <c:v>20</c:v>
                </c:pt>
                <c:pt idx="4">
                  <c:v>19</c:v>
                </c:pt>
                <c:pt idx="5">
                  <c:v>21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18</c:v>
                </c:pt>
                <c:pt idx="11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5-8B4B-9A6F-9CFC452BA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5273791"/>
        <c:axId val="1935264831"/>
      </c:barChart>
      <c:catAx>
        <c:axId val="193527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64831"/>
        <c:crosses val="autoZero"/>
        <c:auto val="1"/>
        <c:lblAlgn val="ctr"/>
        <c:lblOffset val="100"/>
        <c:noMultiLvlLbl val="0"/>
      </c:catAx>
      <c:valAx>
        <c:axId val="19352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7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[HR_Employee_Attrition_Analysis_Dashboard.xlsx]Pivot Analyze!Compensation &amp; Attrition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Monthly Income by Attrition Status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Analyze'!$B$9:$B$10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Analyze'!$A$11:$A$20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Laboratory Technician</c:v>
                </c:pt>
                <c:pt idx="7">
                  <c:v>Research Scientist</c:v>
                </c:pt>
                <c:pt idx="8">
                  <c:v>Sales Representative</c:v>
                </c:pt>
              </c:strCache>
            </c:strRef>
          </c:cat>
          <c:val>
            <c:numRef>
              <c:f>'Pivot Analyze'!$B$11:$B$20</c:f>
              <c:numCache>
                <c:formatCode>"$"#,##0.00</c:formatCode>
                <c:ptCount val="9"/>
                <c:pt idx="0">
                  <c:v>17201.484536082473</c:v>
                </c:pt>
                <c:pt idx="1">
                  <c:v>15947.346153846154</c:v>
                </c:pt>
                <c:pt idx="2">
                  <c:v>7453.5573770491801</c:v>
                </c:pt>
                <c:pt idx="3">
                  <c:v>7289.9259259259261</c:v>
                </c:pt>
                <c:pt idx="4">
                  <c:v>6804.6171003717473</c:v>
                </c:pt>
                <c:pt idx="5">
                  <c:v>4391.75</c:v>
                </c:pt>
                <c:pt idx="6">
                  <c:v>3337.223350253807</c:v>
                </c:pt>
                <c:pt idx="7">
                  <c:v>3328.1224489795918</c:v>
                </c:pt>
                <c:pt idx="8">
                  <c:v>2798.44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7-F742-AC7E-1C45E0EF8A87}"/>
            </c:ext>
          </c:extLst>
        </c:ser>
        <c:ser>
          <c:idx val="1"/>
          <c:order val="1"/>
          <c:tx>
            <c:strRef>
              <c:f>'Pivot Analyze'!$C$9:$C$10</c:f>
              <c:strCache>
                <c:ptCount val="1"/>
                <c:pt idx="0">
                  <c:v>Quit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Analyze'!$A$11:$A$20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Laboratory Technician</c:v>
                </c:pt>
                <c:pt idx="7">
                  <c:v>Research Scientist</c:v>
                </c:pt>
                <c:pt idx="8">
                  <c:v>Sales Representative</c:v>
                </c:pt>
              </c:strCache>
            </c:strRef>
          </c:cat>
          <c:val>
            <c:numRef>
              <c:f>'Pivot Analyze'!$C$11:$C$20</c:f>
              <c:numCache>
                <c:formatCode>"$"#,##0.00</c:formatCode>
                <c:ptCount val="9"/>
                <c:pt idx="0">
                  <c:v>16797.400000000001</c:v>
                </c:pt>
                <c:pt idx="1">
                  <c:v>19395.5</c:v>
                </c:pt>
                <c:pt idx="2">
                  <c:v>8548.2222222222226</c:v>
                </c:pt>
                <c:pt idx="3">
                  <c:v>7365.5</c:v>
                </c:pt>
                <c:pt idx="4">
                  <c:v>7489</c:v>
                </c:pt>
                <c:pt idx="5">
                  <c:v>3715.75</c:v>
                </c:pt>
                <c:pt idx="6">
                  <c:v>2919.2580645161293</c:v>
                </c:pt>
                <c:pt idx="7">
                  <c:v>2780.4680851063831</c:v>
                </c:pt>
                <c:pt idx="8">
                  <c:v>2364.7272727272725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67-F742-AC7E-1C45E0EF8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86847"/>
        <c:axId val="1977138047"/>
      </c:barChart>
      <c:catAx>
        <c:axId val="203048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138047"/>
        <c:crosses val="autoZero"/>
        <c:auto val="1"/>
        <c:lblAlgn val="ctr"/>
        <c:lblOffset val="100"/>
        <c:noMultiLvlLbl val="0"/>
      </c:catAx>
      <c:valAx>
        <c:axId val="197713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8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[HR_Employee_Attrition_Analysis_Dashboard.xlsx]Pivot Analyze!Department Attrition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 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Analyze'!$B$1:$B$2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Analyze'!$A$3:$A$6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'Pivot Analyze'!$B$3:$B$6</c:f>
              <c:numCache>
                <c:formatCode>General</c:formatCode>
                <c:ptCount val="3"/>
                <c:pt idx="0">
                  <c:v>828</c:v>
                </c:pt>
                <c:pt idx="1">
                  <c:v>354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4-1B4C-BF87-F414C7881ADF}"/>
            </c:ext>
          </c:extLst>
        </c:ser>
        <c:ser>
          <c:idx val="1"/>
          <c:order val="1"/>
          <c:tx>
            <c:strRef>
              <c:f>'Pivot Analyze'!$C$1:$C$2</c:f>
              <c:strCache>
                <c:ptCount val="1"/>
                <c:pt idx="0">
                  <c:v>Quit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Analyze'!$A$3:$A$6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'Pivot Analyze'!$C$3:$C$6</c:f>
              <c:numCache>
                <c:formatCode>General</c:formatCode>
                <c:ptCount val="3"/>
                <c:pt idx="0">
                  <c:v>133</c:v>
                </c:pt>
                <c:pt idx="1">
                  <c:v>92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4-1B4C-BF87-F414C7881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700863"/>
        <c:axId val="2032355967"/>
      </c:barChart>
      <c:catAx>
        <c:axId val="202970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55967"/>
        <c:crosses val="autoZero"/>
        <c:auto val="1"/>
        <c:lblAlgn val="ctr"/>
        <c:lblOffset val="100"/>
        <c:noMultiLvlLbl val="0"/>
      </c:catAx>
      <c:valAx>
        <c:axId val="20323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0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393700</xdr:colOff>
      <xdr:row>32</xdr:row>
      <xdr:rowOff>139700</xdr:rowOff>
    </xdr:from>
    <xdr:to>
      <xdr:col>7</xdr:col>
      <xdr:colOff>774700</xdr:colOff>
      <xdr:row>44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02D4D-6513-9AAA-59D4-957A62FED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139700</xdr:colOff>
      <xdr:row>33</xdr:row>
      <xdr:rowOff>88900</xdr:rowOff>
    </xdr:from>
    <xdr:to>
      <xdr:col>10</xdr:col>
      <xdr:colOff>990600</xdr:colOff>
      <xdr:row>43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EAF7CE-1A82-39CF-DFF6-B27277B5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393700</xdr:colOff>
      <xdr:row>45</xdr:row>
      <xdr:rowOff>88900</xdr:rowOff>
    </xdr:from>
    <xdr:to>
      <xdr:col>7</xdr:col>
      <xdr:colOff>1092200</xdr:colOff>
      <xdr:row>57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924F7-13E9-7EFF-008F-8B8A48E10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</xdr:colOff>
      <xdr:row>44</xdr:row>
      <xdr:rowOff>177800</xdr:rowOff>
    </xdr:from>
    <xdr:to>
      <xdr:col>10</xdr:col>
      <xdr:colOff>1206500</xdr:colOff>
      <xdr:row>58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9C9D9B-608D-80AB-0D9B-41BCD494D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1308100</xdr:colOff>
      <xdr:row>33</xdr:row>
      <xdr:rowOff>50800</xdr:rowOff>
    </xdr:from>
    <xdr:to>
      <xdr:col>13</xdr:col>
      <xdr:colOff>850900</xdr:colOff>
      <xdr:row>43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932C6B-9D92-0C7E-9135-A34A103CC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1384300</xdr:colOff>
      <xdr:row>45</xdr:row>
      <xdr:rowOff>0</xdr:rowOff>
    </xdr:from>
    <xdr:to>
      <xdr:col>13</xdr:col>
      <xdr:colOff>1117600</xdr:colOff>
      <xdr:row>58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964954-855E-A4EA-6351-15A850ED3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101600</xdr:colOff>
      <xdr:row>58</xdr:row>
      <xdr:rowOff>63500</xdr:rowOff>
    </xdr:from>
    <xdr:to>
      <xdr:col>9</xdr:col>
      <xdr:colOff>749300</xdr:colOff>
      <xdr:row>71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FFF20F-703D-5F5E-D91D-0C69CA2C6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oluwalase Oloyede" refreshedDate="46288.462144907404" createdVersion="8" refreshedVersion="8" minRefreshableVersion="3" recordCount="1470" xr:uid="{56500BB0-D905-9841-9AEF-4B2FB6B74615}">
  <cacheSource type="worksheet">
    <worksheetSource name="Table2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x v="0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x v="0"/>
    <x v="0"/>
    <n v="4"/>
    <n v="0"/>
    <n v="5"/>
  </r>
  <r>
    <n v="49"/>
    <x v="1"/>
    <s v="Travel_Frequently"/>
    <n v="279"/>
    <x v="1"/>
    <n v="8"/>
    <n v="1"/>
    <s v="Life Sciences"/>
    <n v="1"/>
    <n v="2"/>
    <x v="1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x v="1"/>
    <x v="1"/>
    <n v="7"/>
    <n v="1"/>
    <n v="7"/>
  </r>
  <r>
    <n v="37"/>
    <x v="0"/>
    <s v="Travel_Rarely"/>
    <n v="1373"/>
    <x v="1"/>
    <n v="2"/>
    <n v="2"/>
    <s v="Other"/>
    <n v="1"/>
    <n v="4"/>
    <x v="2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x v="1"/>
    <x v="2"/>
    <n v="0"/>
    <n v="0"/>
    <n v="0"/>
  </r>
  <r>
    <n v="33"/>
    <x v="1"/>
    <s v="Travel_Frequently"/>
    <n v="1392"/>
    <x v="1"/>
    <n v="3"/>
    <n v="4"/>
    <s v="Life Sciences"/>
    <n v="1"/>
    <n v="5"/>
    <x v="2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x v="1"/>
    <x v="3"/>
    <n v="7"/>
    <n v="3"/>
    <n v="0"/>
  </r>
  <r>
    <n v="27"/>
    <x v="1"/>
    <s v="Travel_Rarely"/>
    <n v="591"/>
    <x v="1"/>
    <n v="2"/>
    <n v="1"/>
    <s v="Medical"/>
    <n v="1"/>
    <n v="7"/>
    <x v="3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x v="1"/>
    <x v="4"/>
    <n v="2"/>
    <n v="2"/>
    <n v="2"/>
  </r>
  <r>
    <n v="32"/>
    <x v="1"/>
    <s v="Travel_Frequently"/>
    <n v="1005"/>
    <x v="1"/>
    <n v="2"/>
    <n v="2"/>
    <s v="Life Sciences"/>
    <n v="1"/>
    <n v="8"/>
    <x v="2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x v="2"/>
    <x v="5"/>
    <n v="7"/>
    <n v="3"/>
    <n v="6"/>
  </r>
  <r>
    <n v="59"/>
    <x v="1"/>
    <s v="Travel_Rarely"/>
    <n v="1324"/>
    <x v="1"/>
    <n v="3"/>
    <n v="3"/>
    <s v="Medical"/>
    <n v="1"/>
    <n v="10"/>
    <x v="1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x v="2"/>
    <x v="6"/>
    <n v="0"/>
    <n v="0"/>
    <n v="0"/>
  </r>
  <r>
    <n v="30"/>
    <x v="1"/>
    <s v="Travel_Rarely"/>
    <n v="1358"/>
    <x v="1"/>
    <n v="24"/>
    <n v="1"/>
    <s v="Life Sciences"/>
    <n v="1"/>
    <n v="11"/>
    <x v="2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x v="1"/>
    <x v="6"/>
    <n v="0"/>
    <n v="0"/>
    <n v="0"/>
  </r>
  <r>
    <n v="38"/>
    <x v="1"/>
    <s v="Travel_Frequently"/>
    <n v="216"/>
    <x v="1"/>
    <n v="23"/>
    <n v="3"/>
    <s v="Life Sciences"/>
    <n v="1"/>
    <n v="12"/>
    <x v="2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x v="1"/>
    <x v="7"/>
    <n v="7"/>
    <n v="1"/>
    <n v="8"/>
  </r>
  <r>
    <n v="36"/>
    <x v="1"/>
    <s v="Travel_Rarely"/>
    <n v="1299"/>
    <x v="1"/>
    <n v="27"/>
    <n v="3"/>
    <s v="Medical"/>
    <n v="1"/>
    <n v="13"/>
    <x v="1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x v="2"/>
    <x v="5"/>
    <n v="7"/>
    <n v="7"/>
    <n v="7"/>
  </r>
  <r>
    <n v="35"/>
    <x v="1"/>
    <s v="Travel_Rarely"/>
    <n v="809"/>
    <x v="1"/>
    <n v="16"/>
    <n v="3"/>
    <s v="Medical"/>
    <n v="1"/>
    <n v="14"/>
    <x v="3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x v="1"/>
    <x v="8"/>
    <n v="4"/>
    <n v="0"/>
    <n v="3"/>
  </r>
  <r>
    <n v="29"/>
    <x v="1"/>
    <s v="Travel_Rarely"/>
    <n v="153"/>
    <x v="1"/>
    <n v="15"/>
    <n v="2"/>
    <s v="Life Sciences"/>
    <n v="1"/>
    <n v="15"/>
    <x v="2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x v="1"/>
    <x v="7"/>
    <n v="5"/>
    <n v="0"/>
    <n v="8"/>
  </r>
  <r>
    <n v="31"/>
    <x v="1"/>
    <s v="Travel_Rarely"/>
    <n v="670"/>
    <x v="1"/>
    <n v="26"/>
    <n v="1"/>
    <s v="Life Sciences"/>
    <n v="1"/>
    <n v="16"/>
    <x v="3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x v="2"/>
    <x v="8"/>
    <n v="2"/>
    <n v="4"/>
    <n v="3"/>
  </r>
  <r>
    <n v="34"/>
    <x v="1"/>
    <s v="Travel_Rarely"/>
    <n v="1346"/>
    <x v="1"/>
    <n v="19"/>
    <n v="2"/>
    <s v="Medical"/>
    <n v="1"/>
    <n v="18"/>
    <x v="0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x v="1"/>
    <x v="4"/>
    <n v="2"/>
    <n v="1"/>
    <n v="2"/>
  </r>
  <r>
    <n v="28"/>
    <x v="0"/>
    <s v="Travel_Rarely"/>
    <n v="103"/>
    <x v="1"/>
    <n v="24"/>
    <n v="3"/>
    <s v="Life Sciences"/>
    <n v="1"/>
    <n v="19"/>
    <x v="1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x v="1"/>
    <x v="9"/>
    <n v="2"/>
    <n v="0"/>
    <n v="3"/>
  </r>
  <r>
    <n v="29"/>
    <x v="1"/>
    <s v="Travel_Rarely"/>
    <n v="1389"/>
    <x v="1"/>
    <n v="21"/>
    <n v="4"/>
    <s v="Life Sciences"/>
    <n v="1"/>
    <n v="20"/>
    <x v="0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x v="1"/>
    <x v="1"/>
    <n v="9"/>
    <n v="8"/>
    <n v="8"/>
  </r>
  <r>
    <n v="32"/>
    <x v="1"/>
    <s v="Travel_Rarely"/>
    <n v="334"/>
    <x v="1"/>
    <n v="5"/>
    <n v="2"/>
    <s v="Life Sciences"/>
    <n v="1"/>
    <n v="21"/>
    <x v="3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x v="2"/>
    <x v="0"/>
    <n v="2"/>
    <n v="0"/>
    <n v="5"/>
  </r>
  <r>
    <n v="22"/>
    <x v="1"/>
    <s v="Non-Travel"/>
    <n v="1123"/>
    <x v="1"/>
    <n v="16"/>
    <n v="2"/>
    <s v="Medical"/>
    <n v="1"/>
    <n v="22"/>
    <x v="2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x v="2"/>
    <x v="6"/>
    <n v="0"/>
    <n v="0"/>
    <n v="0"/>
  </r>
  <r>
    <n v="53"/>
    <x v="1"/>
    <s v="Travel_Rarely"/>
    <n v="1219"/>
    <x v="0"/>
    <n v="2"/>
    <n v="4"/>
    <s v="Life Sciences"/>
    <n v="1"/>
    <n v="23"/>
    <x v="3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x v="1"/>
    <x v="10"/>
    <n v="8"/>
    <n v="3"/>
    <n v="7"/>
  </r>
  <r>
    <n v="38"/>
    <x v="1"/>
    <s v="Travel_Rarely"/>
    <n v="371"/>
    <x v="1"/>
    <n v="2"/>
    <n v="3"/>
    <s v="Life Sciences"/>
    <n v="1"/>
    <n v="24"/>
    <x v="2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x v="1"/>
    <x v="11"/>
    <n v="2"/>
    <n v="1"/>
    <n v="2"/>
  </r>
  <r>
    <n v="24"/>
    <x v="1"/>
    <s v="Non-Travel"/>
    <n v="673"/>
    <x v="1"/>
    <n v="11"/>
    <n v="2"/>
    <s v="Other"/>
    <n v="1"/>
    <n v="26"/>
    <x v="3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x v="2"/>
    <x v="9"/>
    <n v="2"/>
    <n v="1"/>
    <n v="3"/>
  </r>
  <r>
    <n v="36"/>
    <x v="0"/>
    <s v="Travel_Rarely"/>
    <n v="1218"/>
    <x v="0"/>
    <n v="9"/>
    <n v="4"/>
    <s v="Life Sciences"/>
    <n v="1"/>
    <n v="27"/>
    <x v="1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x v="1"/>
    <x v="8"/>
    <n v="3"/>
    <n v="0"/>
    <n v="3"/>
  </r>
  <r>
    <n v="34"/>
    <x v="1"/>
    <s v="Travel_Rarely"/>
    <n v="419"/>
    <x v="1"/>
    <n v="7"/>
    <n v="4"/>
    <s v="Life Sciences"/>
    <n v="1"/>
    <n v="28"/>
    <x v="3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x v="1"/>
    <x v="12"/>
    <n v="6"/>
    <n v="2"/>
    <n v="11"/>
  </r>
  <r>
    <n v="21"/>
    <x v="1"/>
    <s v="Travel_Rarely"/>
    <n v="391"/>
    <x v="1"/>
    <n v="15"/>
    <n v="2"/>
    <s v="Life Sciences"/>
    <n v="1"/>
    <n v="30"/>
    <x v="1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x v="1"/>
    <x v="2"/>
    <n v="0"/>
    <n v="0"/>
    <n v="0"/>
  </r>
  <r>
    <n v="34"/>
    <x v="0"/>
    <s v="Travel_Rarely"/>
    <n v="699"/>
    <x v="1"/>
    <n v="6"/>
    <n v="1"/>
    <s v="Medical"/>
    <n v="1"/>
    <n v="31"/>
    <x v="0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x v="1"/>
    <x v="9"/>
    <n v="2"/>
    <n v="1"/>
    <n v="3"/>
  </r>
  <r>
    <n v="53"/>
    <x v="1"/>
    <s v="Travel_Rarely"/>
    <n v="1282"/>
    <x v="1"/>
    <n v="5"/>
    <n v="3"/>
    <s v="Other"/>
    <n v="1"/>
    <n v="32"/>
    <x v="1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x v="2"/>
    <x v="13"/>
    <n v="13"/>
    <n v="4"/>
    <n v="8"/>
  </r>
  <r>
    <n v="32"/>
    <x v="0"/>
    <s v="Travel_Frequently"/>
    <n v="1125"/>
    <x v="1"/>
    <n v="16"/>
    <n v="1"/>
    <s v="Life Sciences"/>
    <n v="1"/>
    <n v="33"/>
    <x v="0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x v="1"/>
    <x v="1"/>
    <n v="2"/>
    <n v="6"/>
    <n v="7"/>
  </r>
  <r>
    <n v="42"/>
    <x v="1"/>
    <s v="Travel_Rarely"/>
    <n v="691"/>
    <x v="0"/>
    <n v="8"/>
    <n v="4"/>
    <s v="Marketing"/>
    <n v="1"/>
    <n v="35"/>
    <x v="1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x v="1"/>
    <x v="7"/>
    <n v="7"/>
    <n v="4"/>
    <n v="2"/>
  </r>
  <r>
    <n v="44"/>
    <x v="1"/>
    <s v="Travel_Rarely"/>
    <n v="477"/>
    <x v="1"/>
    <n v="7"/>
    <n v="4"/>
    <s v="Medical"/>
    <n v="1"/>
    <n v="36"/>
    <x v="3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x v="1"/>
    <x v="14"/>
    <n v="6"/>
    <n v="5"/>
    <n v="17"/>
  </r>
  <r>
    <n v="46"/>
    <x v="1"/>
    <s v="Travel_Rarely"/>
    <n v="705"/>
    <x v="0"/>
    <n v="2"/>
    <n v="4"/>
    <s v="Marketing"/>
    <n v="1"/>
    <n v="38"/>
    <x v="0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x v="2"/>
    <x v="4"/>
    <n v="2"/>
    <n v="2"/>
    <n v="1"/>
  </r>
  <r>
    <n v="33"/>
    <x v="1"/>
    <s v="Travel_Rarely"/>
    <n v="924"/>
    <x v="1"/>
    <n v="2"/>
    <n v="3"/>
    <s v="Medical"/>
    <n v="1"/>
    <n v="39"/>
    <x v="1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x v="1"/>
    <x v="6"/>
    <n v="1"/>
    <n v="0"/>
    <n v="0"/>
  </r>
  <r>
    <n v="44"/>
    <x v="1"/>
    <s v="Travel_Rarely"/>
    <n v="1459"/>
    <x v="1"/>
    <n v="10"/>
    <n v="4"/>
    <s v="Other"/>
    <n v="1"/>
    <n v="40"/>
    <x v="2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x v="3"/>
    <x v="9"/>
    <n v="2"/>
    <n v="1"/>
    <n v="3"/>
  </r>
  <r>
    <n v="30"/>
    <x v="1"/>
    <s v="Travel_Rarely"/>
    <n v="125"/>
    <x v="1"/>
    <n v="9"/>
    <n v="2"/>
    <s v="Medical"/>
    <n v="1"/>
    <n v="41"/>
    <x v="2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x v="1"/>
    <x v="1"/>
    <n v="0"/>
    <n v="1"/>
    <n v="8"/>
  </r>
  <r>
    <n v="39"/>
    <x v="0"/>
    <s v="Travel_Rarely"/>
    <n v="895"/>
    <x v="0"/>
    <n v="5"/>
    <n v="3"/>
    <s v="Technical Degree"/>
    <n v="1"/>
    <n v="42"/>
    <x v="2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x v="3"/>
    <x v="6"/>
    <n v="0"/>
    <n v="0"/>
    <n v="0"/>
  </r>
  <r>
    <n v="24"/>
    <x v="0"/>
    <s v="Travel_Rarely"/>
    <n v="813"/>
    <x v="1"/>
    <n v="1"/>
    <n v="3"/>
    <s v="Medical"/>
    <n v="1"/>
    <n v="45"/>
    <x v="0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x v="2"/>
    <x v="4"/>
    <n v="0"/>
    <n v="2"/>
    <n v="0"/>
  </r>
  <r>
    <n v="43"/>
    <x v="1"/>
    <s v="Travel_Rarely"/>
    <n v="1273"/>
    <x v="1"/>
    <n v="2"/>
    <n v="2"/>
    <s v="Medical"/>
    <n v="1"/>
    <n v="46"/>
    <x v="2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x v="2"/>
    <x v="8"/>
    <n v="3"/>
    <n v="1"/>
    <n v="4"/>
  </r>
  <r>
    <n v="50"/>
    <x v="0"/>
    <s v="Travel_Rarely"/>
    <n v="869"/>
    <x v="0"/>
    <n v="3"/>
    <n v="2"/>
    <s v="Marketing"/>
    <n v="1"/>
    <n v="47"/>
    <x v="3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x v="1"/>
    <x v="11"/>
    <n v="2"/>
    <n v="0"/>
    <n v="2"/>
  </r>
  <r>
    <n v="35"/>
    <x v="1"/>
    <s v="Travel_Rarely"/>
    <n v="890"/>
    <x v="0"/>
    <n v="2"/>
    <n v="3"/>
    <s v="Marketing"/>
    <n v="1"/>
    <n v="49"/>
    <x v="2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x v="1"/>
    <x v="4"/>
    <n v="2"/>
    <n v="2"/>
    <n v="2"/>
  </r>
  <r>
    <n v="36"/>
    <x v="1"/>
    <s v="Travel_Rarely"/>
    <n v="852"/>
    <x v="1"/>
    <n v="5"/>
    <n v="4"/>
    <s v="Life Sciences"/>
    <n v="1"/>
    <n v="51"/>
    <x v="0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x v="3"/>
    <x v="6"/>
    <n v="1"/>
    <n v="0"/>
    <n v="0"/>
  </r>
  <r>
    <n v="33"/>
    <x v="1"/>
    <s v="Travel_Frequently"/>
    <n v="1141"/>
    <x v="0"/>
    <n v="1"/>
    <n v="3"/>
    <s v="Life Sciences"/>
    <n v="1"/>
    <n v="52"/>
    <x v="1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x v="1"/>
    <x v="8"/>
    <n v="3"/>
    <n v="1"/>
    <n v="3"/>
  </r>
  <r>
    <n v="35"/>
    <x v="1"/>
    <s v="Travel_Rarely"/>
    <n v="464"/>
    <x v="1"/>
    <n v="4"/>
    <n v="2"/>
    <s v="Other"/>
    <n v="1"/>
    <n v="53"/>
    <x v="1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x v="1"/>
    <x v="6"/>
    <n v="0"/>
    <n v="0"/>
    <n v="0"/>
  </r>
  <r>
    <n v="27"/>
    <x v="1"/>
    <s v="Travel_Rarely"/>
    <n v="1240"/>
    <x v="1"/>
    <n v="2"/>
    <n v="4"/>
    <s v="Life Sciences"/>
    <n v="1"/>
    <n v="54"/>
    <x v="2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x v="1"/>
    <x v="6"/>
    <n v="0"/>
    <n v="0"/>
    <n v="0"/>
  </r>
  <r>
    <n v="26"/>
    <x v="0"/>
    <s v="Travel_Rarely"/>
    <n v="1357"/>
    <x v="1"/>
    <n v="25"/>
    <n v="3"/>
    <s v="Life Sciences"/>
    <n v="1"/>
    <n v="55"/>
    <x v="3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x v="2"/>
    <x v="6"/>
    <n v="0"/>
    <n v="0"/>
    <n v="1"/>
  </r>
  <r>
    <n v="27"/>
    <x v="1"/>
    <s v="Travel_Frequently"/>
    <n v="994"/>
    <x v="0"/>
    <n v="8"/>
    <n v="3"/>
    <s v="Life Sciences"/>
    <n v="1"/>
    <n v="56"/>
    <x v="2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x v="1"/>
    <x v="7"/>
    <n v="8"/>
    <n v="1"/>
    <n v="7"/>
  </r>
  <r>
    <n v="30"/>
    <x v="1"/>
    <s v="Travel_Frequently"/>
    <n v="721"/>
    <x v="1"/>
    <n v="1"/>
    <n v="2"/>
    <s v="Medical"/>
    <n v="1"/>
    <n v="57"/>
    <x v="1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x v="1"/>
    <x v="12"/>
    <n v="8"/>
    <n v="3"/>
    <n v="7"/>
  </r>
  <r>
    <n v="41"/>
    <x v="0"/>
    <s v="Travel_Rarely"/>
    <n v="1360"/>
    <x v="1"/>
    <n v="12"/>
    <n v="3"/>
    <s v="Technical Degree"/>
    <n v="1"/>
    <n v="58"/>
    <x v="0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x v="1"/>
    <x v="14"/>
    <n v="15"/>
    <n v="15"/>
    <n v="8"/>
  </r>
  <r>
    <n v="34"/>
    <x v="1"/>
    <s v="Non-Travel"/>
    <n v="1065"/>
    <x v="0"/>
    <n v="23"/>
    <n v="4"/>
    <s v="Marketing"/>
    <n v="1"/>
    <n v="60"/>
    <x v="0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x v="1"/>
    <x v="7"/>
    <n v="5"/>
    <n v="8"/>
    <n v="7"/>
  </r>
  <r>
    <n v="37"/>
    <x v="1"/>
    <s v="Travel_Rarely"/>
    <n v="408"/>
    <x v="1"/>
    <n v="19"/>
    <n v="2"/>
    <s v="Life Sciences"/>
    <n v="1"/>
    <n v="61"/>
    <x v="0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x v="1"/>
    <x v="6"/>
    <n v="0"/>
    <n v="0"/>
    <n v="0"/>
  </r>
  <r>
    <n v="46"/>
    <x v="1"/>
    <s v="Travel_Frequently"/>
    <n v="1211"/>
    <x v="0"/>
    <n v="5"/>
    <n v="4"/>
    <s v="Marketing"/>
    <n v="1"/>
    <n v="62"/>
    <x v="3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x v="1"/>
    <x v="7"/>
    <n v="6"/>
    <n v="0"/>
    <n v="8"/>
  </r>
  <r>
    <n v="35"/>
    <x v="1"/>
    <s v="Travel_Rarely"/>
    <n v="1229"/>
    <x v="1"/>
    <n v="8"/>
    <n v="1"/>
    <s v="Life Sciences"/>
    <n v="1"/>
    <n v="63"/>
    <x v="2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x v="1"/>
    <x v="6"/>
    <n v="0"/>
    <n v="0"/>
    <n v="1"/>
  </r>
  <r>
    <n v="48"/>
    <x v="0"/>
    <s v="Travel_Rarely"/>
    <n v="626"/>
    <x v="1"/>
    <n v="1"/>
    <n v="2"/>
    <s v="Life Sciences"/>
    <n v="1"/>
    <n v="64"/>
    <x v="3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x v="1"/>
    <x v="6"/>
    <n v="0"/>
    <n v="0"/>
    <n v="0"/>
  </r>
  <r>
    <n v="28"/>
    <x v="0"/>
    <s v="Travel_Rarely"/>
    <n v="1434"/>
    <x v="1"/>
    <n v="5"/>
    <n v="4"/>
    <s v="Technical Degree"/>
    <n v="1"/>
    <n v="65"/>
    <x v="1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x v="2"/>
    <x v="4"/>
    <n v="2"/>
    <n v="2"/>
    <n v="2"/>
  </r>
  <r>
    <n v="44"/>
    <x v="1"/>
    <s v="Travel_Rarely"/>
    <n v="1488"/>
    <x v="0"/>
    <n v="1"/>
    <n v="5"/>
    <s v="Marketing"/>
    <n v="1"/>
    <n v="68"/>
    <x v="0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x v="2"/>
    <x v="9"/>
    <n v="3"/>
    <n v="1"/>
    <n v="3"/>
  </r>
  <r>
    <n v="35"/>
    <x v="1"/>
    <s v="Non-Travel"/>
    <n v="1097"/>
    <x v="1"/>
    <n v="11"/>
    <n v="2"/>
    <s v="Medical"/>
    <n v="1"/>
    <n v="70"/>
    <x v="1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x v="1"/>
    <x v="9"/>
    <n v="0"/>
    <n v="2"/>
    <n v="3"/>
  </r>
  <r>
    <n v="26"/>
    <x v="1"/>
    <s v="Travel_Rarely"/>
    <n v="1443"/>
    <x v="0"/>
    <n v="23"/>
    <n v="3"/>
    <s v="Marketing"/>
    <n v="1"/>
    <n v="72"/>
    <x v="1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x v="2"/>
    <x v="4"/>
    <n v="2"/>
    <n v="0"/>
    <n v="0"/>
  </r>
  <r>
    <n v="33"/>
    <x v="1"/>
    <s v="Travel_Frequently"/>
    <n v="515"/>
    <x v="1"/>
    <n v="1"/>
    <n v="2"/>
    <s v="Life Sciences"/>
    <n v="1"/>
    <n v="73"/>
    <x v="3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x v="1"/>
    <x v="15"/>
    <n v="14"/>
    <n v="8"/>
    <n v="12"/>
  </r>
  <r>
    <n v="35"/>
    <x v="1"/>
    <s v="Travel_Frequently"/>
    <n v="853"/>
    <x v="0"/>
    <n v="18"/>
    <n v="5"/>
    <s v="Life Sciences"/>
    <n v="1"/>
    <n v="74"/>
    <x v="0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x v="2"/>
    <x v="7"/>
    <n v="8"/>
    <n v="1"/>
    <n v="8"/>
  </r>
  <r>
    <n v="35"/>
    <x v="1"/>
    <s v="Travel_Rarely"/>
    <n v="1142"/>
    <x v="1"/>
    <n v="23"/>
    <n v="4"/>
    <s v="Medical"/>
    <n v="1"/>
    <n v="75"/>
    <x v="1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x v="1"/>
    <x v="4"/>
    <n v="2"/>
    <n v="2"/>
    <n v="2"/>
  </r>
  <r>
    <n v="31"/>
    <x v="1"/>
    <s v="Travel_Rarely"/>
    <n v="655"/>
    <x v="1"/>
    <n v="7"/>
    <n v="4"/>
    <s v="Life Sciences"/>
    <n v="1"/>
    <n v="76"/>
    <x v="2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x v="2"/>
    <x v="5"/>
    <n v="7"/>
    <n v="1"/>
    <n v="7"/>
  </r>
  <r>
    <n v="37"/>
    <x v="1"/>
    <s v="Travel_Rarely"/>
    <n v="1115"/>
    <x v="1"/>
    <n v="1"/>
    <n v="4"/>
    <s v="Life Sciences"/>
    <n v="1"/>
    <n v="77"/>
    <x v="3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x v="3"/>
    <x v="5"/>
    <n v="5"/>
    <n v="0"/>
    <n v="7"/>
  </r>
  <r>
    <n v="32"/>
    <x v="1"/>
    <s v="Travel_Rarely"/>
    <n v="427"/>
    <x v="1"/>
    <n v="1"/>
    <n v="3"/>
    <s v="Medical"/>
    <n v="1"/>
    <n v="78"/>
    <x v="3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x v="1"/>
    <x v="7"/>
    <n v="8"/>
    <n v="7"/>
    <n v="8"/>
  </r>
  <r>
    <n v="38"/>
    <x v="1"/>
    <s v="Travel_Frequently"/>
    <n v="653"/>
    <x v="1"/>
    <n v="29"/>
    <n v="5"/>
    <s v="Life Sciences"/>
    <n v="1"/>
    <n v="79"/>
    <x v="2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x v="1"/>
    <x v="1"/>
    <n v="3"/>
    <n v="9"/>
    <n v="9"/>
  </r>
  <r>
    <n v="50"/>
    <x v="1"/>
    <s v="Travel_Rarely"/>
    <n v="989"/>
    <x v="1"/>
    <n v="7"/>
    <n v="2"/>
    <s v="Medical"/>
    <n v="1"/>
    <n v="80"/>
    <x v="0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x v="2"/>
    <x v="16"/>
    <n v="3"/>
    <n v="13"/>
    <n v="8"/>
  </r>
  <r>
    <n v="59"/>
    <x v="1"/>
    <s v="Travel_Rarely"/>
    <n v="1435"/>
    <x v="0"/>
    <n v="25"/>
    <n v="3"/>
    <s v="Life Sciences"/>
    <n v="1"/>
    <n v="81"/>
    <x v="3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x v="2"/>
    <x v="17"/>
    <n v="16"/>
    <n v="7"/>
    <n v="9"/>
  </r>
  <r>
    <n v="36"/>
    <x v="1"/>
    <s v="Travel_Rarely"/>
    <n v="1223"/>
    <x v="1"/>
    <n v="8"/>
    <n v="3"/>
    <s v="Technical Degree"/>
    <n v="1"/>
    <n v="83"/>
    <x v="1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x v="1"/>
    <x v="18"/>
    <n v="14"/>
    <n v="12"/>
    <n v="8"/>
  </r>
  <r>
    <n v="55"/>
    <x v="1"/>
    <s v="Travel_Rarely"/>
    <n v="836"/>
    <x v="1"/>
    <n v="8"/>
    <n v="3"/>
    <s v="Medical"/>
    <n v="1"/>
    <n v="84"/>
    <x v="2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x v="1"/>
    <x v="8"/>
    <n v="0"/>
    <n v="0"/>
    <n v="2"/>
  </r>
  <r>
    <n v="36"/>
    <x v="1"/>
    <s v="Travel_Frequently"/>
    <n v="1195"/>
    <x v="1"/>
    <n v="11"/>
    <n v="3"/>
    <s v="Life Sciences"/>
    <n v="1"/>
    <n v="85"/>
    <x v="0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x v="1"/>
    <x v="0"/>
    <n v="5"/>
    <n v="0"/>
    <n v="3"/>
  </r>
  <r>
    <n v="45"/>
    <x v="1"/>
    <s v="Travel_Rarely"/>
    <n v="1339"/>
    <x v="1"/>
    <n v="7"/>
    <n v="3"/>
    <s v="Life Sciences"/>
    <n v="1"/>
    <n v="86"/>
    <x v="0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x v="1"/>
    <x v="6"/>
    <n v="0"/>
    <n v="0"/>
    <n v="0"/>
  </r>
  <r>
    <n v="35"/>
    <x v="1"/>
    <s v="Travel_Frequently"/>
    <n v="664"/>
    <x v="1"/>
    <n v="1"/>
    <n v="3"/>
    <s v="Medical"/>
    <n v="1"/>
    <n v="88"/>
    <x v="0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x v="2"/>
    <x v="11"/>
    <n v="2"/>
    <n v="1"/>
    <n v="2"/>
  </r>
  <r>
    <n v="36"/>
    <x v="0"/>
    <s v="Travel_Rarely"/>
    <n v="318"/>
    <x v="1"/>
    <n v="9"/>
    <n v="3"/>
    <s v="Medical"/>
    <n v="1"/>
    <n v="90"/>
    <x v="2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x v="2"/>
    <x v="6"/>
    <n v="0"/>
    <n v="0"/>
    <n v="0"/>
  </r>
  <r>
    <n v="59"/>
    <x v="1"/>
    <s v="Travel_Frequently"/>
    <n v="1225"/>
    <x v="0"/>
    <n v="1"/>
    <n v="1"/>
    <s v="Life Sciences"/>
    <n v="1"/>
    <n v="91"/>
    <x v="3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x v="2"/>
    <x v="9"/>
    <n v="3"/>
    <n v="1"/>
    <n v="3"/>
  </r>
  <r>
    <n v="29"/>
    <x v="1"/>
    <s v="Travel_Rarely"/>
    <n v="1328"/>
    <x v="1"/>
    <n v="2"/>
    <n v="3"/>
    <s v="Life Sciences"/>
    <n v="1"/>
    <n v="94"/>
    <x v="1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x v="1"/>
    <x v="8"/>
    <n v="4"/>
    <n v="0"/>
    <n v="4"/>
  </r>
  <r>
    <n v="31"/>
    <x v="1"/>
    <s v="Travel_Rarely"/>
    <n v="1082"/>
    <x v="1"/>
    <n v="1"/>
    <n v="4"/>
    <s v="Medical"/>
    <n v="1"/>
    <n v="95"/>
    <x v="1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x v="1"/>
    <x v="6"/>
    <n v="1"/>
    <n v="1"/>
    <n v="0"/>
  </r>
  <r>
    <n v="32"/>
    <x v="1"/>
    <s v="Travel_Rarely"/>
    <n v="548"/>
    <x v="1"/>
    <n v="1"/>
    <n v="3"/>
    <s v="Life Sciences"/>
    <n v="1"/>
    <n v="96"/>
    <x v="0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x v="1"/>
    <x v="1"/>
    <n v="4"/>
    <n v="0"/>
    <n v="9"/>
  </r>
  <r>
    <n v="36"/>
    <x v="1"/>
    <s v="Travel_Rarely"/>
    <n v="132"/>
    <x v="1"/>
    <n v="6"/>
    <n v="3"/>
    <s v="Life Sciences"/>
    <n v="1"/>
    <n v="97"/>
    <x v="0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x v="1"/>
    <x v="6"/>
    <n v="0"/>
    <n v="0"/>
    <n v="0"/>
  </r>
  <r>
    <n v="31"/>
    <x v="1"/>
    <s v="Travel_Rarely"/>
    <n v="746"/>
    <x v="1"/>
    <n v="8"/>
    <n v="4"/>
    <s v="Life Sciences"/>
    <n v="1"/>
    <n v="98"/>
    <x v="1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x v="1"/>
    <x v="19"/>
    <n v="7"/>
    <n v="1"/>
    <n v="8"/>
  </r>
  <r>
    <n v="35"/>
    <x v="1"/>
    <s v="Travel_Rarely"/>
    <n v="776"/>
    <x v="0"/>
    <n v="1"/>
    <n v="4"/>
    <s v="Marketing"/>
    <n v="1"/>
    <n v="100"/>
    <x v="1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x v="1"/>
    <x v="15"/>
    <n v="13"/>
    <n v="2"/>
    <n v="8"/>
  </r>
  <r>
    <n v="45"/>
    <x v="1"/>
    <s v="Travel_Rarely"/>
    <n v="193"/>
    <x v="1"/>
    <n v="6"/>
    <n v="4"/>
    <s v="Other"/>
    <n v="1"/>
    <n v="101"/>
    <x v="2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x v="3"/>
    <x v="2"/>
    <n v="0"/>
    <n v="0"/>
    <n v="0"/>
  </r>
  <r>
    <n v="37"/>
    <x v="1"/>
    <s v="Travel_Rarely"/>
    <n v="397"/>
    <x v="1"/>
    <n v="7"/>
    <n v="4"/>
    <s v="Medical"/>
    <n v="1"/>
    <n v="102"/>
    <x v="3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x v="3"/>
    <x v="8"/>
    <n v="2"/>
    <n v="0"/>
    <n v="2"/>
  </r>
  <r>
    <n v="46"/>
    <x v="1"/>
    <s v="Travel_Rarely"/>
    <n v="945"/>
    <x v="2"/>
    <n v="5"/>
    <n v="2"/>
    <s v="Medical"/>
    <n v="1"/>
    <n v="103"/>
    <x v="0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x v="1"/>
    <x v="9"/>
    <n v="2"/>
    <n v="0"/>
    <n v="2"/>
  </r>
  <r>
    <n v="30"/>
    <x v="1"/>
    <s v="Travel_Rarely"/>
    <n v="852"/>
    <x v="1"/>
    <n v="1"/>
    <n v="1"/>
    <s v="Life Sciences"/>
    <n v="1"/>
    <n v="104"/>
    <x v="2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x v="2"/>
    <x v="1"/>
    <n v="8"/>
    <n v="3"/>
    <n v="0"/>
  </r>
  <r>
    <n v="35"/>
    <x v="1"/>
    <s v="Travel_Rarely"/>
    <n v="1214"/>
    <x v="1"/>
    <n v="1"/>
    <n v="3"/>
    <s v="Medical"/>
    <n v="1"/>
    <n v="105"/>
    <x v="0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x v="1"/>
    <x v="0"/>
    <n v="4"/>
    <n v="0"/>
    <n v="4"/>
  </r>
  <r>
    <n v="55"/>
    <x v="1"/>
    <s v="Travel_Rarely"/>
    <n v="111"/>
    <x v="0"/>
    <n v="1"/>
    <n v="2"/>
    <s v="Life Sciences"/>
    <n v="1"/>
    <n v="106"/>
    <x v="3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x v="1"/>
    <x v="6"/>
    <n v="0"/>
    <n v="1"/>
    <n v="0"/>
  </r>
  <r>
    <n v="38"/>
    <x v="1"/>
    <s v="Non-Travel"/>
    <n v="573"/>
    <x v="1"/>
    <n v="6"/>
    <n v="3"/>
    <s v="Medical"/>
    <n v="1"/>
    <n v="107"/>
    <x v="0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x v="1"/>
    <x v="20"/>
    <n v="11"/>
    <n v="1"/>
    <n v="9"/>
  </r>
  <r>
    <n v="34"/>
    <x v="1"/>
    <s v="Travel_Rarely"/>
    <n v="1153"/>
    <x v="1"/>
    <n v="1"/>
    <n v="2"/>
    <s v="Medical"/>
    <n v="1"/>
    <n v="110"/>
    <x v="3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x v="1"/>
    <x v="8"/>
    <n v="2"/>
    <n v="1"/>
    <n v="3"/>
  </r>
  <r>
    <n v="56"/>
    <x v="1"/>
    <s v="Travel_Rarely"/>
    <n v="1400"/>
    <x v="1"/>
    <n v="7"/>
    <n v="3"/>
    <s v="Life Sciences"/>
    <n v="1"/>
    <n v="112"/>
    <x v="2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x v="2"/>
    <x v="0"/>
    <n v="4"/>
    <n v="0"/>
    <n v="2"/>
  </r>
  <r>
    <n v="23"/>
    <x v="1"/>
    <s v="Travel_Rarely"/>
    <n v="541"/>
    <x v="0"/>
    <n v="2"/>
    <n v="1"/>
    <s v="Technical Degree"/>
    <n v="1"/>
    <n v="113"/>
    <x v="1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x v="1"/>
    <x v="2"/>
    <n v="0"/>
    <n v="0"/>
    <n v="0"/>
  </r>
  <r>
    <n v="51"/>
    <x v="1"/>
    <s v="Travel_Rarely"/>
    <n v="432"/>
    <x v="1"/>
    <n v="9"/>
    <n v="4"/>
    <s v="Life Sciences"/>
    <n v="1"/>
    <n v="116"/>
    <x v="2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x v="1"/>
    <x v="9"/>
    <n v="2"/>
    <n v="0"/>
    <n v="3"/>
  </r>
  <r>
    <n v="30"/>
    <x v="1"/>
    <s v="Travel_Rarely"/>
    <n v="288"/>
    <x v="1"/>
    <n v="2"/>
    <n v="3"/>
    <s v="Life Sciences"/>
    <n v="1"/>
    <n v="117"/>
    <x v="1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x v="1"/>
    <x v="19"/>
    <n v="10"/>
    <n v="10"/>
    <n v="8"/>
  </r>
  <r>
    <n v="46"/>
    <x v="0"/>
    <s v="Travel_Rarely"/>
    <n v="669"/>
    <x v="0"/>
    <n v="9"/>
    <n v="2"/>
    <s v="Medical"/>
    <n v="1"/>
    <n v="118"/>
    <x v="1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x v="1"/>
    <x v="7"/>
    <n v="8"/>
    <n v="4"/>
    <n v="7"/>
  </r>
  <r>
    <n v="40"/>
    <x v="1"/>
    <s v="Travel_Frequently"/>
    <n v="530"/>
    <x v="1"/>
    <n v="1"/>
    <n v="4"/>
    <s v="Life Sciences"/>
    <n v="1"/>
    <n v="119"/>
    <x v="1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x v="2"/>
    <x v="14"/>
    <n v="3"/>
    <n v="11"/>
    <n v="11"/>
  </r>
  <r>
    <n v="51"/>
    <x v="1"/>
    <s v="Travel_Rarely"/>
    <n v="632"/>
    <x v="0"/>
    <n v="21"/>
    <n v="4"/>
    <s v="Marketing"/>
    <n v="1"/>
    <n v="120"/>
    <x v="1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x v="0"/>
    <x v="1"/>
    <n v="7"/>
    <n v="1"/>
    <n v="0"/>
  </r>
  <r>
    <n v="30"/>
    <x v="1"/>
    <s v="Travel_Rarely"/>
    <n v="1334"/>
    <x v="0"/>
    <n v="4"/>
    <n v="2"/>
    <s v="Medical"/>
    <n v="1"/>
    <n v="121"/>
    <x v="1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x v="2"/>
    <x v="19"/>
    <n v="8"/>
    <n v="2"/>
    <n v="7"/>
  </r>
  <r>
    <n v="46"/>
    <x v="1"/>
    <s v="Travel_Frequently"/>
    <n v="638"/>
    <x v="1"/>
    <n v="1"/>
    <n v="3"/>
    <s v="Medical"/>
    <n v="1"/>
    <n v="124"/>
    <x v="1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x v="2"/>
    <x v="1"/>
    <n v="9"/>
    <n v="9"/>
    <n v="5"/>
  </r>
  <r>
    <n v="32"/>
    <x v="1"/>
    <s v="Travel_Rarely"/>
    <n v="1093"/>
    <x v="0"/>
    <n v="6"/>
    <n v="4"/>
    <s v="Medical"/>
    <n v="1"/>
    <n v="125"/>
    <x v="0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x v="1"/>
    <x v="19"/>
    <n v="8"/>
    <n v="5"/>
    <n v="7"/>
  </r>
  <r>
    <n v="54"/>
    <x v="1"/>
    <s v="Travel_Rarely"/>
    <n v="1217"/>
    <x v="1"/>
    <n v="2"/>
    <n v="4"/>
    <s v="Technical Degree"/>
    <n v="1"/>
    <n v="126"/>
    <x v="3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x v="0"/>
    <x v="9"/>
    <n v="3"/>
    <n v="0"/>
    <n v="3"/>
  </r>
  <r>
    <n v="24"/>
    <x v="1"/>
    <s v="Travel_Rarely"/>
    <n v="1353"/>
    <x v="0"/>
    <n v="3"/>
    <n v="2"/>
    <s v="Other"/>
    <n v="1"/>
    <n v="128"/>
    <x v="3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x v="2"/>
    <x v="11"/>
    <n v="2"/>
    <n v="0"/>
    <n v="2"/>
  </r>
  <r>
    <n v="28"/>
    <x v="1"/>
    <s v="Non-Travel"/>
    <n v="120"/>
    <x v="0"/>
    <n v="4"/>
    <n v="3"/>
    <s v="Medical"/>
    <n v="1"/>
    <n v="129"/>
    <x v="0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x v="3"/>
    <x v="8"/>
    <n v="4"/>
    <n v="0"/>
    <n v="4"/>
  </r>
  <r>
    <n v="58"/>
    <x v="1"/>
    <s v="Travel_Rarely"/>
    <n v="682"/>
    <x v="0"/>
    <n v="10"/>
    <n v="4"/>
    <s v="Medical"/>
    <n v="1"/>
    <n v="131"/>
    <x v="2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x v="2"/>
    <x v="21"/>
    <n v="10"/>
    <n v="1"/>
    <n v="8"/>
  </r>
  <r>
    <n v="44"/>
    <x v="1"/>
    <s v="Non-Travel"/>
    <n v="489"/>
    <x v="1"/>
    <n v="23"/>
    <n v="3"/>
    <s v="Medical"/>
    <n v="1"/>
    <n v="132"/>
    <x v="0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x v="3"/>
    <x v="11"/>
    <n v="2"/>
    <n v="1"/>
    <n v="2"/>
  </r>
  <r>
    <n v="37"/>
    <x v="0"/>
    <s v="Travel_Rarely"/>
    <n v="807"/>
    <x v="2"/>
    <n v="6"/>
    <n v="4"/>
    <s v="Human Resources"/>
    <n v="1"/>
    <n v="133"/>
    <x v="1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x v="1"/>
    <x v="11"/>
    <n v="2"/>
    <n v="0"/>
    <n v="2"/>
  </r>
  <r>
    <n v="32"/>
    <x v="1"/>
    <s v="Travel_Rarely"/>
    <n v="827"/>
    <x v="1"/>
    <n v="1"/>
    <n v="1"/>
    <s v="Life Sciences"/>
    <n v="1"/>
    <n v="134"/>
    <x v="2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x v="1"/>
    <x v="6"/>
    <n v="0"/>
    <n v="0"/>
    <n v="0"/>
  </r>
  <r>
    <n v="20"/>
    <x v="0"/>
    <s v="Travel_Frequently"/>
    <n v="871"/>
    <x v="1"/>
    <n v="6"/>
    <n v="3"/>
    <s v="Life Sciences"/>
    <n v="1"/>
    <n v="137"/>
    <x v="2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x v="1"/>
    <x v="6"/>
    <n v="0"/>
    <n v="1"/>
    <n v="0"/>
  </r>
  <r>
    <n v="34"/>
    <x v="1"/>
    <s v="Travel_Rarely"/>
    <n v="665"/>
    <x v="1"/>
    <n v="6"/>
    <n v="4"/>
    <s v="Other"/>
    <n v="1"/>
    <n v="138"/>
    <x v="3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x v="1"/>
    <x v="22"/>
    <n v="13"/>
    <n v="2"/>
    <n v="10"/>
  </r>
  <r>
    <n v="37"/>
    <x v="1"/>
    <s v="Non-Travel"/>
    <n v="1040"/>
    <x v="1"/>
    <n v="2"/>
    <n v="2"/>
    <s v="Life Sciences"/>
    <n v="1"/>
    <n v="139"/>
    <x v="1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x v="3"/>
    <x v="6"/>
    <n v="0"/>
    <n v="0"/>
    <n v="0"/>
  </r>
  <r>
    <n v="59"/>
    <x v="1"/>
    <s v="Non-Travel"/>
    <n v="1420"/>
    <x v="2"/>
    <n v="2"/>
    <n v="4"/>
    <s v="Human Resources"/>
    <n v="1"/>
    <n v="140"/>
    <x v="1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x v="1"/>
    <x v="11"/>
    <n v="2"/>
    <n v="2"/>
    <n v="2"/>
  </r>
  <r>
    <n v="50"/>
    <x v="1"/>
    <s v="Travel_Frequently"/>
    <n v="1115"/>
    <x v="1"/>
    <n v="1"/>
    <n v="3"/>
    <s v="Life Sciences"/>
    <n v="1"/>
    <n v="141"/>
    <x v="3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x v="2"/>
    <x v="3"/>
    <n v="3"/>
    <n v="0"/>
    <n v="7"/>
  </r>
  <r>
    <n v="25"/>
    <x v="0"/>
    <s v="Travel_Rarely"/>
    <n v="240"/>
    <x v="0"/>
    <n v="5"/>
    <n v="3"/>
    <s v="Marketing"/>
    <n v="1"/>
    <n v="142"/>
    <x v="1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x v="1"/>
    <x v="0"/>
    <n v="4"/>
    <n v="0"/>
    <n v="3"/>
  </r>
  <r>
    <n v="25"/>
    <x v="1"/>
    <s v="Travel_Rarely"/>
    <n v="1280"/>
    <x v="1"/>
    <n v="7"/>
    <n v="1"/>
    <s v="Medical"/>
    <n v="1"/>
    <n v="143"/>
    <x v="2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x v="1"/>
    <x v="4"/>
    <n v="2"/>
    <n v="2"/>
    <n v="1"/>
  </r>
  <r>
    <n v="22"/>
    <x v="1"/>
    <s v="Travel_Rarely"/>
    <n v="534"/>
    <x v="1"/>
    <n v="15"/>
    <n v="3"/>
    <s v="Medical"/>
    <n v="1"/>
    <n v="144"/>
    <x v="0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x v="1"/>
    <x v="2"/>
    <n v="0"/>
    <n v="0"/>
    <n v="0"/>
  </r>
  <r>
    <n v="51"/>
    <x v="1"/>
    <s v="Travel_Frequently"/>
    <n v="1456"/>
    <x v="1"/>
    <n v="1"/>
    <n v="4"/>
    <s v="Medical"/>
    <n v="1"/>
    <n v="145"/>
    <x v="3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x v="2"/>
    <x v="20"/>
    <n v="12"/>
    <n v="12"/>
    <n v="8"/>
  </r>
  <r>
    <n v="34"/>
    <x v="0"/>
    <s v="Travel_Frequently"/>
    <n v="658"/>
    <x v="1"/>
    <n v="7"/>
    <n v="3"/>
    <s v="Life Sciences"/>
    <n v="1"/>
    <n v="147"/>
    <x v="3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x v="1"/>
    <x v="7"/>
    <n v="7"/>
    <n v="0"/>
    <n v="6"/>
  </r>
  <r>
    <n v="54"/>
    <x v="1"/>
    <s v="Non-Travel"/>
    <n v="142"/>
    <x v="2"/>
    <n v="26"/>
    <n v="3"/>
    <s v="Human Resources"/>
    <n v="1"/>
    <n v="148"/>
    <x v="2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x v="1"/>
    <x v="8"/>
    <n v="3"/>
    <n v="4"/>
    <n v="4"/>
  </r>
  <r>
    <n v="24"/>
    <x v="1"/>
    <s v="Travel_Rarely"/>
    <n v="1127"/>
    <x v="1"/>
    <n v="18"/>
    <n v="1"/>
    <s v="Life Sciences"/>
    <n v="1"/>
    <n v="150"/>
    <x v="0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x v="1"/>
    <x v="8"/>
    <n v="3"/>
    <n v="1"/>
    <n v="2"/>
  </r>
  <r>
    <n v="34"/>
    <x v="1"/>
    <s v="Travel_Rarely"/>
    <n v="1031"/>
    <x v="1"/>
    <n v="6"/>
    <n v="4"/>
    <s v="Life Sciences"/>
    <n v="1"/>
    <n v="151"/>
    <x v="1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x v="1"/>
    <x v="6"/>
    <n v="0"/>
    <n v="0"/>
    <n v="0"/>
  </r>
  <r>
    <n v="37"/>
    <x v="1"/>
    <s v="Travel_Rarely"/>
    <n v="1189"/>
    <x v="0"/>
    <n v="3"/>
    <n v="3"/>
    <s v="Life Sciences"/>
    <n v="1"/>
    <n v="152"/>
    <x v="1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x v="1"/>
    <x v="8"/>
    <n v="3"/>
    <n v="1"/>
    <n v="3"/>
  </r>
  <r>
    <n v="34"/>
    <x v="1"/>
    <s v="Travel_Rarely"/>
    <n v="1354"/>
    <x v="1"/>
    <n v="5"/>
    <n v="3"/>
    <s v="Medical"/>
    <n v="1"/>
    <n v="153"/>
    <x v="1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x v="1"/>
    <x v="19"/>
    <n v="10"/>
    <n v="5"/>
    <n v="8"/>
  </r>
  <r>
    <n v="36"/>
    <x v="1"/>
    <s v="Travel_Frequently"/>
    <n v="1467"/>
    <x v="0"/>
    <n v="11"/>
    <n v="2"/>
    <s v="Technical Degree"/>
    <n v="1"/>
    <n v="154"/>
    <x v="0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x v="1"/>
    <x v="7"/>
    <n v="7"/>
    <n v="2"/>
    <n v="8"/>
  </r>
  <r>
    <n v="36"/>
    <x v="1"/>
    <s v="Travel_Rarely"/>
    <n v="922"/>
    <x v="1"/>
    <n v="3"/>
    <n v="2"/>
    <s v="Life Sciences"/>
    <n v="1"/>
    <n v="155"/>
    <x v="3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x v="1"/>
    <x v="6"/>
    <n v="0"/>
    <n v="0"/>
    <n v="0"/>
  </r>
  <r>
    <n v="43"/>
    <x v="1"/>
    <s v="Travel_Frequently"/>
    <n v="394"/>
    <x v="0"/>
    <n v="26"/>
    <n v="2"/>
    <s v="Life Sciences"/>
    <n v="1"/>
    <n v="158"/>
    <x v="1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x v="3"/>
    <x v="10"/>
    <n v="12"/>
    <n v="4"/>
    <n v="12"/>
  </r>
  <r>
    <n v="30"/>
    <x v="1"/>
    <s v="Travel_Frequently"/>
    <n v="1312"/>
    <x v="1"/>
    <n v="23"/>
    <n v="3"/>
    <s v="Life Sciences"/>
    <n v="1"/>
    <n v="159"/>
    <x v="3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x v="2"/>
    <x v="1"/>
    <n v="7"/>
    <n v="0"/>
    <n v="9"/>
  </r>
  <r>
    <n v="33"/>
    <x v="1"/>
    <s v="Non-Travel"/>
    <n v="750"/>
    <x v="0"/>
    <n v="22"/>
    <n v="2"/>
    <s v="Marketing"/>
    <n v="1"/>
    <n v="160"/>
    <x v="1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x v="3"/>
    <x v="5"/>
    <n v="7"/>
    <n v="0"/>
    <n v="7"/>
  </r>
  <r>
    <n v="56"/>
    <x v="0"/>
    <s v="Travel_Rarely"/>
    <n v="441"/>
    <x v="1"/>
    <n v="14"/>
    <n v="4"/>
    <s v="Life Sciences"/>
    <n v="1"/>
    <n v="161"/>
    <x v="0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x v="1"/>
    <x v="8"/>
    <n v="4"/>
    <n v="4"/>
    <n v="3"/>
  </r>
  <r>
    <n v="51"/>
    <x v="1"/>
    <s v="Travel_Rarely"/>
    <n v="684"/>
    <x v="1"/>
    <n v="6"/>
    <n v="3"/>
    <s v="Life Sciences"/>
    <n v="1"/>
    <n v="162"/>
    <x v="3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x v="1"/>
    <x v="23"/>
    <n v="18"/>
    <n v="15"/>
    <n v="15"/>
  </r>
  <r>
    <n v="31"/>
    <x v="0"/>
    <s v="Travel_Rarely"/>
    <n v="249"/>
    <x v="0"/>
    <n v="6"/>
    <n v="4"/>
    <s v="Life Sciences"/>
    <n v="1"/>
    <n v="163"/>
    <x v="0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x v="2"/>
    <x v="5"/>
    <n v="7"/>
    <n v="7"/>
    <n v="7"/>
  </r>
  <r>
    <n v="26"/>
    <x v="1"/>
    <s v="Travel_Rarely"/>
    <n v="841"/>
    <x v="1"/>
    <n v="6"/>
    <n v="3"/>
    <s v="Other"/>
    <n v="1"/>
    <n v="164"/>
    <x v="1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x v="2"/>
    <x v="8"/>
    <n v="4"/>
    <n v="4"/>
    <n v="3"/>
  </r>
  <r>
    <n v="58"/>
    <x v="0"/>
    <s v="Travel_Rarely"/>
    <n v="147"/>
    <x v="1"/>
    <n v="23"/>
    <n v="4"/>
    <s v="Medical"/>
    <n v="1"/>
    <n v="165"/>
    <x v="2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x v="2"/>
    <x v="24"/>
    <n v="10"/>
    <n v="15"/>
    <n v="6"/>
  </r>
  <r>
    <n v="19"/>
    <x v="0"/>
    <s v="Travel_Rarely"/>
    <n v="528"/>
    <x v="0"/>
    <n v="22"/>
    <n v="1"/>
    <s v="Marketing"/>
    <n v="1"/>
    <n v="167"/>
    <x v="2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x v="2"/>
    <x v="2"/>
    <n v="0"/>
    <n v="0"/>
    <n v="0"/>
  </r>
  <r>
    <n v="22"/>
    <x v="1"/>
    <s v="Travel_Rarely"/>
    <n v="594"/>
    <x v="1"/>
    <n v="2"/>
    <n v="1"/>
    <s v="Technical Degree"/>
    <n v="1"/>
    <n v="169"/>
    <x v="1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x v="1"/>
    <x v="4"/>
    <n v="1"/>
    <n v="2"/>
    <n v="1"/>
  </r>
  <r>
    <n v="49"/>
    <x v="1"/>
    <s v="Travel_Rarely"/>
    <n v="470"/>
    <x v="1"/>
    <n v="20"/>
    <n v="4"/>
    <s v="Medical"/>
    <n v="1"/>
    <n v="170"/>
    <x v="1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x v="2"/>
    <x v="15"/>
    <n v="11"/>
    <n v="5"/>
    <n v="11"/>
  </r>
  <r>
    <n v="43"/>
    <x v="1"/>
    <s v="Travel_Frequently"/>
    <n v="957"/>
    <x v="1"/>
    <n v="28"/>
    <n v="3"/>
    <s v="Medical"/>
    <n v="1"/>
    <n v="171"/>
    <x v="0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x v="1"/>
    <x v="11"/>
    <n v="2"/>
    <n v="1"/>
    <n v="2"/>
  </r>
  <r>
    <n v="50"/>
    <x v="1"/>
    <s v="Travel_Frequently"/>
    <n v="809"/>
    <x v="0"/>
    <n v="12"/>
    <n v="3"/>
    <s v="Marketing"/>
    <n v="1"/>
    <n v="174"/>
    <x v="1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x v="1"/>
    <x v="4"/>
    <n v="2"/>
    <n v="2"/>
    <n v="1"/>
  </r>
  <r>
    <n v="31"/>
    <x v="0"/>
    <s v="Travel_Rarely"/>
    <n v="542"/>
    <x v="0"/>
    <n v="20"/>
    <n v="3"/>
    <s v="Life Sciences"/>
    <n v="1"/>
    <n v="175"/>
    <x v="0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x v="1"/>
    <x v="4"/>
    <n v="2"/>
    <n v="2"/>
    <n v="2"/>
  </r>
  <r>
    <n v="41"/>
    <x v="1"/>
    <s v="Travel_Rarely"/>
    <n v="802"/>
    <x v="0"/>
    <n v="9"/>
    <n v="1"/>
    <s v="Life Sciences"/>
    <n v="1"/>
    <n v="176"/>
    <x v="1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x v="1"/>
    <x v="7"/>
    <n v="7"/>
    <n v="0"/>
    <n v="7"/>
  </r>
  <r>
    <n v="26"/>
    <x v="1"/>
    <s v="Travel_Rarely"/>
    <n v="1355"/>
    <x v="2"/>
    <n v="25"/>
    <n v="1"/>
    <s v="Life Sciences"/>
    <n v="1"/>
    <n v="177"/>
    <x v="1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x v="1"/>
    <x v="3"/>
    <n v="7"/>
    <n v="5"/>
    <n v="7"/>
  </r>
  <r>
    <n v="36"/>
    <x v="1"/>
    <s v="Travel_Rarely"/>
    <n v="216"/>
    <x v="1"/>
    <n v="6"/>
    <n v="2"/>
    <s v="Medical"/>
    <n v="1"/>
    <n v="178"/>
    <x v="0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x v="1"/>
    <x v="11"/>
    <n v="2"/>
    <n v="0"/>
    <n v="1"/>
  </r>
  <r>
    <n v="51"/>
    <x v="0"/>
    <s v="Travel_Frequently"/>
    <n v="1150"/>
    <x v="1"/>
    <n v="8"/>
    <n v="4"/>
    <s v="Life Sciences"/>
    <n v="1"/>
    <n v="179"/>
    <x v="3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x v="1"/>
    <x v="9"/>
    <n v="2"/>
    <n v="0"/>
    <n v="3"/>
  </r>
  <r>
    <n v="39"/>
    <x v="1"/>
    <s v="Travel_Rarely"/>
    <n v="1329"/>
    <x v="0"/>
    <n v="4"/>
    <n v="4"/>
    <s v="Life Sciences"/>
    <n v="1"/>
    <n v="182"/>
    <x v="2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x v="3"/>
    <x v="15"/>
    <n v="11"/>
    <n v="5"/>
    <n v="9"/>
  </r>
  <r>
    <n v="25"/>
    <x v="1"/>
    <s v="Travel_Rarely"/>
    <n v="959"/>
    <x v="0"/>
    <n v="28"/>
    <n v="3"/>
    <s v="Life Sciences"/>
    <n v="1"/>
    <n v="183"/>
    <x v="3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x v="1"/>
    <x v="4"/>
    <n v="2"/>
    <n v="2"/>
    <n v="2"/>
  </r>
  <r>
    <n v="30"/>
    <x v="1"/>
    <s v="Travel_Rarely"/>
    <n v="1240"/>
    <x v="2"/>
    <n v="9"/>
    <n v="3"/>
    <s v="Human Resources"/>
    <n v="1"/>
    <n v="184"/>
    <x v="1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x v="0"/>
    <x v="19"/>
    <n v="9"/>
    <n v="4"/>
    <n v="7"/>
  </r>
  <r>
    <n v="32"/>
    <x v="0"/>
    <s v="Travel_Rarely"/>
    <n v="1033"/>
    <x v="1"/>
    <n v="9"/>
    <n v="3"/>
    <s v="Medical"/>
    <n v="1"/>
    <n v="190"/>
    <x v="3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x v="3"/>
    <x v="8"/>
    <n v="4"/>
    <n v="0"/>
    <n v="4"/>
  </r>
  <r>
    <n v="45"/>
    <x v="1"/>
    <s v="Travel_Rarely"/>
    <n v="1316"/>
    <x v="1"/>
    <n v="29"/>
    <n v="3"/>
    <s v="Medical"/>
    <n v="1"/>
    <n v="192"/>
    <x v="1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x v="2"/>
    <x v="0"/>
    <n v="5"/>
    <n v="0"/>
    <n v="3"/>
  </r>
  <r>
    <n v="38"/>
    <x v="1"/>
    <s v="Travel_Rarely"/>
    <n v="364"/>
    <x v="1"/>
    <n v="3"/>
    <n v="5"/>
    <s v="Technical Degree"/>
    <n v="1"/>
    <n v="193"/>
    <x v="2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x v="1"/>
    <x v="11"/>
    <n v="2"/>
    <n v="2"/>
    <n v="2"/>
  </r>
  <r>
    <n v="30"/>
    <x v="1"/>
    <s v="Travel_Rarely"/>
    <n v="438"/>
    <x v="1"/>
    <n v="18"/>
    <n v="3"/>
    <s v="Life Sciences"/>
    <n v="1"/>
    <n v="194"/>
    <x v="3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x v="2"/>
    <x v="8"/>
    <n v="4"/>
    <n v="0"/>
    <n v="4"/>
  </r>
  <r>
    <n v="32"/>
    <x v="1"/>
    <s v="Travel_Frequently"/>
    <n v="689"/>
    <x v="0"/>
    <n v="9"/>
    <n v="2"/>
    <s v="Medical"/>
    <n v="1"/>
    <n v="195"/>
    <x v="2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x v="3"/>
    <x v="3"/>
    <n v="7"/>
    <n v="0"/>
    <n v="7"/>
  </r>
  <r>
    <n v="30"/>
    <x v="1"/>
    <s v="Travel_Rarely"/>
    <n v="201"/>
    <x v="1"/>
    <n v="5"/>
    <n v="3"/>
    <s v="Technical Degree"/>
    <n v="1"/>
    <n v="197"/>
    <x v="2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x v="1"/>
    <x v="11"/>
    <n v="2"/>
    <n v="2"/>
    <n v="2"/>
  </r>
  <r>
    <n v="30"/>
    <x v="1"/>
    <s v="Travel_Rarely"/>
    <n v="1427"/>
    <x v="1"/>
    <n v="2"/>
    <n v="1"/>
    <s v="Medical"/>
    <n v="1"/>
    <n v="198"/>
    <x v="0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x v="1"/>
    <x v="8"/>
    <n v="3"/>
    <n v="1"/>
    <n v="2"/>
  </r>
  <r>
    <n v="41"/>
    <x v="1"/>
    <s v="Travel_Frequently"/>
    <n v="857"/>
    <x v="1"/>
    <n v="10"/>
    <n v="3"/>
    <s v="Life Sciences"/>
    <n v="1"/>
    <n v="199"/>
    <x v="2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x v="2"/>
    <x v="5"/>
    <n v="6"/>
    <n v="7"/>
    <n v="7"/>
  </r>
  <r>
    <n v="41"/>
    <x v="1"/>
    <s v="Travel_Rarely"/>
    <n v="933"/>
    <x v="1"/>
    <n v="9"/>
    <n v="4"/>
    <s v="Life Sciences"/>
    <n v="1"/>
    <n v="200"/>
    <x v="1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x v="1"/>
    <x v="8"/>
    <n v="0"/>
    <n v="1"/>
    <n v="4"/>
  </r>
  <r>
    <n v="19"/>
    <x v="1"/>
    <s v="Travel_Rarely"/>
    <n v="1181"/>
    <x v="1"/>
    <n v="3"/>
    <n v="1"/>
    <s v="Medical"/>
    <n v="1"/>
    <n v="201"/>
    <x v="0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x v="1"/>
    <x v="6"/>
    <n v="0"/>
    <n v="0"/>
    <n v="0"/>
  </r>
  <r>
    <n v="40"/>
    <x v="1"/>
    <s v="Travel_Frequently"/>
    <n v="1395"/>
    <x v="1"/>
    <n v="26"/>
    <n v="3"/>
    <s v="Medical"/>
    <n v="1"/>
    <n v="202"/>
    <x v="0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x v="1"/>
    <x v="23"/>
    <n v="7"/>
    <n v="2"/>
    <n v="13"/>
  </r>
  <r>
    <n v="35"/>
    <x v="1"/>
    <s v="Travel_Rarely"/>
    <n v="662"/>
    <x v="0"/>
    <n v="1"/>
    <n v="5"/>
    <s v="Marketing"/>
    <n v="1"/>
    <n v="204"/>
    <x v="1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x v="1"/>
    <x v="1"/>
    <n v="8"/>
    <n v="0"/>
    <n v="6"/>
  </r>
  <r>
    <n v="53"/>
    <x v="1"/>
    <s v="Travel_Rarely"/>
    <n v="1436"/>
    <x v="0"/>
    <n v="6"/>
    <n v="2"/>
    <s v="Marketing"/>
    <n v="1"/>
    <n v="205"/>
    <x v="0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x v="0"/>
    <x v="5"/>
    <n v="7"/>
    <n v="4"/>
    <n v="5"/>
  </r>
  <r>
    <n v="45"/>
    <x v="1"/>
    <s v="Travel_Rarely"/>
    <n v="194"/>
    <x v="1"/>
    <n v="9"/>
    <n v="3"/>
    <s v="Life Sciences"/>
    <n v="1"/>
    <n v="206"/>
    <x v="0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x v="0"/>
    <x v="18"/>
    <n v="9"/>
    <n v="0"/>
    <n v="15"/>
  </r>
  <r>
    <n v="32"/>
    <x v="1"/>
    <s v="Travel_Frequently"/>
    <n v="967"/>
    <x v="0"/>
    <n v="8"/>
    <n v="3"/>
    <s v="Marketing"/>
    <n v="1"/>
    <n v="207"/>
    <x v="0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x v="1"/>
    <x v="7"/>
    <n v="8"/>
    <n v="3"/>
    <n v="7"/>
  </r>
  <r>
    <n v="29"/>
    <x v="1"/>
    <s v="Non-Travel"/>
    <n v="1496"/>
    <x v="1"/>
    <n v="1"/>
    <n v="1"/>
    <s v="Technical Degree"/>
    <n v="1"/>
    <n v="208"/>
    <x v="2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x v="1"/>
    <x v="1"/>
    <n v="7"/>
    <n v="0"/>
    <n v="9"/>
  </r>
  <r>
    <n v="51"/>
    <x v="1"/>
    <s v="Travel_Rarely"/>
    <n v="1169"/>
    <x v="1"/>
    <n v="7"/>
    <n v="4"/>
    <s v="Medical"/>
    <n v="1"/>
    <n v="211"/>
    <x v="0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x v="1"/>
    <x v="6"/>
    <n v="0"/>
    <n v="0"/>
    <n v="0"/>
  </r>
  <r>
    <n v="58"/>
    <x v="1"/>
    <s v="Travel_Rarely"/>
    <n v="1145"/>
    <x v="1"/>
    <n v="9"/>
    <n v="3"/>
    <s v="Medical"/>
    <n v="1"/>
    <n v="214"/>
    <x v="0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x v="2"/>
    <x v="6"/>
    <n v="0"/>
    <n v="0"/>
    <n v="0"/>
  </r>
  <r>
    <n v="40"/>
    <x v="1"/>
    <s v="Travel_Rarely"/>
    <n v="630"/>
    <x v="0"/>
    <n v="4"/>
    <n v="4"/>
    <s v="Marketing"/>
    <n v="1"/>
    <n v="215"/>
    <x v="1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x v="2"/>
    <x v="12"/>
    <n v="11"/>
    <n v="2"/>
    <n v="11"/>
  </r>
  <r>
    <n v="34"/>
    <x v="1"/>
    <s v="Travel_Frequently"/>
    <n v="303"/>
    <x v="0"/>
    <n v="2"/>
    <n v="4"/>
    <s v="Marketing"/>
    <n v="1"/>
    <n v="216"/>
    <x v="1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x v="1"/>
    <x v="9"/>
    <n v="3"/>
    <n v="1"/>
    <n v="2"/>
  </r>
  <r>
    <n v="22"/>
    <x v="1"/>
    <s v="Travel_Rarely"/>
    <n v="1256"/>
    <x v="1"/>
    <n v="19"/>
    <n v="1"/>
    <s v="Medical"/>
    <n v="1"/>
    <n v="217"/>
    <x v="1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x v="1"/>
    <x v="4"/>
    <n v="2"/>
    <n v="2"/>
    <n v="2"/>
  </r>
  <r>
    <n v="27"/>
    <x v="1"/>
    <s v="Non-Travel"/>
    <n v="691"/>
    <x v="1"/>
    <n v="9"/>
    <n v="3"/>
    <s v="Medical"/>
    <n v="1"/>
    <n v="218"/>
    <x v="2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x v="0"/>
    <x v="4"/>
    <n v="2"/>
    <n v="2"/>
    <n v="2"/>
  </r>
  <r>
    <n v="28"/>
    <x v="1"/>
    <s v="Travel_Rarely"/>
    <n v="440"/>
    <x v="1"/>
    <n v="21"/>
    <n v="3"/>
    <s v="Medical"/>
    <n v="1"/>
    <n v="221"/>
    <x v="1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x v="0"/>
    <x v="8"/>
    <n v="2"/>
    <n v="0"/>
    <n v="2"/>
  </r>
  <r>
    <n v="57"/>
    <x v="1"/>
    <s v="Travel_Rarely"/>
    <n v="334"/>
    <x v="1"/>
    <n v="24"/>
    <n v="2"/>
    <s v="Life Sciences"/>
    <n v="1"/>
    <n v="223"/>
    <x v="1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x v="0"/>
    <x v="8"/>
    <n v="3"/>
    <n v="1"/>
    <n v="4"/>
  </r>
  <r>
    <n v="27"/>
    <x v="1"/>
    <s v="Non-Travel"/>
    <n v="1450"/>
    <x v="1"/>
    <n v="3"/>
    <n v="3"/>
    <s v="Medical"/>
    <n v="1"/>
    <n v="224"/>
    <x v="1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x v="2"/>
    <x v="6"/>
    <n v="1"/>
    <n v="0"/>
    <n v="1"/>
  </r>
  <r>
    <n v="50"/>
    <x v="1"/>
    <s v="Travel_Rarely"/>
    <n v="1452"/>
    <x v="1"/>
    <n v="11"/>
    <n v="3"/>
    <s v="Life Sciences"/>
    <n v="1"/>
    <n v="226"/>
    <x v="1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x v="1"/>
    <x v="8"/>
    <n v="4"/>
    <n v="4"/>
    <n v="4"/>
  </r>
  <r>
    <n v="41"/>
    <x v="1"/>
    <s v="Travel_Rarely"/>
    <n v="465"/>
    <x v="1"/>
    <n v="14"/>
    <n v="3"/>
    <s v="Life Sciences"/>
    <n v="1"/>
    <n v="227"/>
    <x v="3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x v="1"/>
    <x v="7"/>
    <n v="8"/>
    <n v="1"/>
    <n v="8"/>
  </r>
  <r>
    <n v="30"/>
    <x v="1"/>
    <s v="Travel_Rarely"/>
    <n v="1339"/>
    <x v="0"/>
    <n v="5"/>
    <n v="3"/>
    <s v="Life Sciences"/>
    <n v="1"/>
    <n v="228"/>
    <x v="0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x v="1"/>
    <x v="1"/>
    <n v="9"/>
    <n v="7"/>
    <n v="4"/>
  </r>
  <r>
    <n v="38"/>
    <x v="1"/>
    <s v="Travel_Rarely"/>
    <n v="702"/>
    <x v="0"/>
    <n v="1"/>
    <n v="4"/>
    <s v="Life Sciences"/>
    <n v="1"/>
    <n v="230"/>
    <x v="3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x v="3"/>
    <x v="3"/>
    <n v="3"/>
    <n v="0"/>
    <n v="7"/>
  </r>
  <r>
    <n v="32"/>
    <x v="1"/>
    <s v="Travel_Rarely"/>
    <n v="120"/>
    <x v="1"/>
    <n v="6"/>
    <n v="5"/>
    <s v="Life Sciences"/>
    <n v="1"/>
    <n v="231"/>
    <x v="1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x v="1"/>
    <x v="8"/>
    <n v="4"/>
    <n v="1"/>
    <n v="4"/>
  </r>
  <r>
    <n v="27"/>
    <x v="1"/>
    <s v="Travel_Rarely"/>
    <n v="1157"/>
    <x v="1"/>
    <n v="17"/>
    <n v="3"/>
    <s v="Technical Degree"/>
    <n v="1"/>
    <n v="233"/>
    <x v="1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x v="2"/>
    <x v="8"/>
    <n v="2"/>
    <n v="1"/>
    <n v="1"/>
  </r>
  <r>
    <n v="19"/>
    <x v="0"/>
    <s v="Travel_Frequently"/>
    <n v="602"/>
    <x v="0"/>
    <n v="1"/>
    <n v="1"/>
    <s v="Technical Degree"/>
    <n v="1"/>
    <n v="235"/>
    <x v="1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x v="3"/>
    <x v="2"/>
    <n v="0"/>
    <n v="0"/>
    <n v="0"/>
  </r>
  <r>
    <n v="36"/>
    <x v="1"/>
    <s v="Travel_Frequently"/>
    <n v="1480"/>
    <x v="1"/>
    <n v="3"/>
    <n v="2"/>
    <s v="Medical"/>
    <n v="1"/>
    <n v="238"/>
    <x v="2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x v="2"/>
    <x v="3"/>
    <n v="7"/>
    <n v="7"/>
    <n v="2"/>
  </r>
  <r>
    <n v="30"/>
    <x v="1"/>
    <s v="Non-Travel"/>
    <n v="111"/>
    <x v="1"/>
    <n v="9"/>
    <n v="3"/>
    <s v="Medical"/>
    <n v="1"/>
    <n v="239"/>
    <x v="1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x v="1"/>
    <x v="12"/>
    <n v="9"/>
    <n v="6"/>
    <n v="10"/>
  </r>
  <r>
    <n v="45"/>
    <x v="1"/>
    <s v="Travel_Rarely"/>
    <n v="1268"/>
    <x v="0"/>
    <n v="4"/>
    <n v="2"/>
    <s v="Life Sciences"/>
    <n v="1"/>
    <n v="240"/>
    <x v="1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x v="3"/>
    <x v="8"/>
    <n v="4"/>
    <n v="0"/>
    <n v="3"/>
  </r>
  <r>
    <n v="56"/>
    <x v="1"/>
    <s v="Travel_Rarely"/>
    <n v="713"/>
    <x v="1"/>
    <n v="8"/>
    <n v="3"/>
    <s v="Life Sciences"/>
    <n v="1"/>
    <n v="241"/>
    <x v="1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x v="1"/>
    <x v="4"/>
    <n v="2"/>
    <n v="2"/>
    <n v="2"/>
  </r>
  <r>
    <n v="33"/>
    <x v="1"/>
    <s v="Travel_Rarely"/>
    <n v="134"/>
    <x v="1"/>
    <n v="2"/>
    <n v="3"/>
    <s v="Life Sciences"/>
    <n v="1"/>
    <n v="242"/>
    <x v="1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x v="3"/>
    <x v="11"/>
    <n v="1"/>
    <n v="0"/>
    <n v="2"/>
  </r>
  <r>
    <n v="19"/>
    <x v="0"/>
    <s v="Travel_Rarely"/>
    <n v="303"/>
    <x v="1"/>
    <n v="2"/>
    <n v="3"/>
    <s v="Life Sciences"/>
    <n v="1"/>
    <n v="243"/>
    <x v="0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x v="2"/>
    <x v="6"/>
    <n v="0"/>
    <n v="1"/>
    <n v="0"/>
  </r>
  <r>
    <n v="46"/>
    <x v="1"/>
    <s v="Travel_Rarely"/>
    <n v="526"/>
    <x v="0"/>
    <n v="1"/>
    <n v="2"/>
    <s v="Marketing"/>
    <n v="1"/>
    <n v="244"/>
    <x v="0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x v="1"/>
    <x v="25"/>
    <n v="13"/>
    <n v="15"/>
    <n v="7"/>
  </r>
  <r>
    <n v="38"/>
    <x v="1"/>
    <s v="Travel_Rarely"/>
    <n v="1380"/>
    <x v="1"/>
    <n v="9"/>
    <n v="2"/>
    <s v="Life Sciences"/>
    <n v="1"/>
    <n v="245"/>
    <x v="1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x v="1"/>
    <x v="4"/>
    <n v="2"/>
    <n v="2"/>
    <n v="1"/>
  </r>
  <r>
    <n v="31"/>
    <x v="1"/>
    <s v="Travel_Rarely"/>
    <n v="140"/>
    <x v="1"/>
    <n v="12"/>
    <n v="1"/>
    <s v="Medical"/>
    <n v="1"/>
    <n v="246"/>
    <x v="1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x v="1"/>
    <x v="9"/>
    <n v="2"/>
    <n v="0"/>
    <n v="2"/>
  </r>
  <r>
    <n v="34"/>
    <x v="1"/>
    <s v="Travel_Rarely"/>
    <n v="629"/>
    <x v="1"/>
    <n v="27"/>
    <n v="2"/>
    <s v="Medical"/>
    <n v="1"/>
    <n v="247"/>
    <x v="2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x v="1"/>
    <x v="11"/>
    <n v="2"/>
    <n v="1"/>
    <n v="2"/>
  </r>
  <r>
    <n v="41"/>
    <x v="0"/>
    <s v="Travel_Rarely"/>
    <n v="1356"/>
    <x v="0"/>
    <n v="20"/>
    <n v="2"/>
    <s v="Marketing"/>
    <n v="1"/>
    <n v="248"/>
    <x v="0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x v="2"/>
    <x v="9"/>
    <n v="3"/>
    <n v="0"/>
    <n v="2"/>
  </r>
  <r>
    <n v="50"/>
    <x v="1"/>
    <s v="Travel_Rarely"/>
    <n v="328"/>
    <x v="1"/>
    <n v="1"/>
    <n v="3"/>
    <s v="Medical"/>
    <n v="1"/>
    <n v="249"/>
    <x v="1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x v="2"/>
    <x v="11"/>
    <n v="2"/>
    <n v="0"/>
    <n v="2"/>
  </r>
  <r>
    <n v="53"/>
    <x v="1"/>
    <s v="Travel_Rarely"/>
    <n v="1084"/>
    <x v="1"/>
    <n v="13"/>
    <n v="2"/>
    <s v="Medical"/>
    <n v="1"/>
    <n v="250"/>
    <x v="2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x v="1"/>
    <x v="9"/>
    <n v="2"/>
    <n v="1"/>
    <n v="3"/>
  </r>
  <r>
    <n v="33"/>
    <x v="1"/>
    <s v="Travel_Rarely"/>
    <n v="931"/>
    <x v="1"/>
    <n v="14"/>
    <n v="3"/>
    <s v="Medical"/>
    <n v="1"/>
    <n v="252"/>
    <x v="2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x v="1"/>
    <x v="3"/>
    <n v="7"/>
    <n v="1"/>
    <n v="6"/>
  </r>
  <r>
    <n v="40"/>
    <x v="1"/>
    <s v="Travel_Rarely"/>
    <n v="989"/>
    <x v="1"/>
    <n v="4"/>
    <n v="1"/>
    <s v="Medical"/>
    <n v="1"/>
    <n v="253"/>
    <x v="2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x v="1"/>
    <x v="23"/>
    <n v="8"/>
    <n v="9"/>
    <n v="9"/>
  </r>
  <r>
    <n v="55"/>
    <x v="1"/>
    <s v="Travel_Rarely"/>
    <n v="692"/>
    <x v="1"/>
    <n v="14"/>
    <n v="4"/>
    <s v="Medical"/>
    <n v="1"/>
    <n v="254"/>
    <x v="1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x v="1"/>
    <x v="25"/>
    <n v="15"/>
    <n v="2"/>
    <n v="15"/>
  </r>
  <r>
    <n v="34"/>
    <x v="1"/>
    <s v="Travel_Frequently"/>
    <n v="1069"/>
    <x v="1"/>
    <n v="2"/>
    <n v="1"/>
    <s v="Life Sciences"/>
    <n v="1"/>
    <n v="256"/>
    <x v="2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x v="2"/>
    <x v="1"/>
    <n v="9"/>
    <n v="1"/>
    <n v="9"/>
  </r>
  <r>
    <n v="51"/>
    <x v="1"/>
    <s v="Travel_Rarely"/>
    <n v="313"/>
    <x v="1"/>
    <n v="3"/>
    <n v="3"/>
    <s v="Medical"/>
    <n v="1"/>
    <n v="258"/>
    <x v="2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x v="1"/>
    <x v="5"/>
    <n v="7"/>
    <n v="1"/>
    <n v="0"/>
  </r>
  <r>
    <n v="52"/>
    <x v="1"/>
    <s v="Travel_Rarely"/>
    <n v="699"/>
    <x v="1"/>
    <n v="1"/>
    <n v="4"/>
    <s v="Life Sciences"/>
    <n v="1"/>
    <n v="259"/>
    <x v="1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x v="1"/>
    <x v="26"/>
    <n v="18"/>
    <n v="11"/>
    <n v="9"/>
  </r>
  <r>
    <n v="27"/>
    <x v="1"/>
    <s v="Travel_Rarely"/>
    <n v="894"/>
    <x v="1"/>
    <n v="9"/>
    <n v="3"/>
    <s v="Medical"/>
    <n v="1"/>
    <n v="260"/>
    <x v="2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x v="2"/>
    <x v="5"/>
    <n v="7"/>
    <n v="0"/>
    <n v="3"/>
  </r>
  <r>
    <n v="35"/>
    <x v="0"/>
    <s v="Travel_Rarely"/>
    <n v="556"/>
    <x v="1"/>
    <n v="23"/>
    <n v="2"/>
    <s v="Life Sciences"/>
    <n v="1"/>
    <n v="261"/>
    <x v="0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x v="1"/>
    <x v="6"/>
    <n v="0"/>
    <n v="0"/>
    <n v="1"/>
  </r>
  <r>
    <n v="43"/>
    <x v="1"/>
    <s v="Non-Travel"/>
    <n v="1344"/>
    <x v="1"/>
    <n v="7"/>
    <n v="3"/>
    <s v="Medical"/>
    <n v="1"/>
    <n v="262"/>
    <x v="2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x v="3"/>
    <x v="8"/>
    <n v="4"/>
    <n v="2"/>
    <n v="2"/>
  </r>
  <r>
    <n v="45"/>
    <x v="1"/>
    <s v="Non-Travel"/>
    <n v="1195"/>
    <x v="1"/>
    <n v="2"/>
    <n v="2"/>
    <s v="Medical"/>
    <n v="1"/>
    <n v="264"/>
    <x v="3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x v="1"/>
    <x v="23"/>
    <n v="8"/>
    <n v="11"/>
    <n v="8"/>
  </r>
  <r>
    <n v="37"/>
    <x v="1"/>
    <s v="Travel_Rarely"/>
    <n v="290"/>
    <x v="1"/>
    <n v="21"/>
    <n v="3"/>
    <s v="Life Sciences"/>
    <n v="1"/>
    <n v="267"/>
    <x v="0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x v="2"/>
    <x v="3"/>
    <n v="7"/>
    <n v="1"/>
    <n v="7"/>
  </r>
  <r>
    <n v="35"/>
    <x v="1"/>
    <s v="Travel_Frequently"/>
    <n v="138"/>
    <x v="1"/>
    <n v="2"/>
    <n v="3"/>
    <s v="Medical"/>
    <n v="1"/>
    <n v="269"/>
    <x v="0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x v="1"/>
    <x v="0"/>
    <n v="2"/>
    <n v="1"/>
    <n v="2"/>
  </r>
  <r>
    <n v="42"/>
    <x v="1"/>
    <s v="Non-Travel"/>
    <n v="926"/>
    <x v="1"/>
    <n v="21"/>
    <n v="2"/>
    <s v="Medical"/>
    <n v="1"/>
    <n v="270"/>
    <x v="1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x v="1"/>
    <x v="8"/>
    <n v="3"/>
    <n v="0"/>
    <n v="2"/>
  </r>
  <r>
    <n v="38"/>
    <x v="1"/>
    <s v="Travel_Rarely"/>
    <n v="1261"/>
    <x v="1"/>
    <n v="2"/>
    <n v="4"/>
    <s v="Life Sciences"/>
    <n v="1"/>
    <n v="271"/>
    <x v="2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x v="1"/>
    <x v="6"/>
    <n v="0"/>
    <n v="0"/>
    <n v="0"/>
  </r>
  <r>
    <n v="38"/>
    <x v="1"/>
    <s v="Travel_Rarely"/>
    <n v="1084"/>
    <x v="1"/>
    <n v="29"/>
    <n v="3"/>
    <s v="Technical Degree"/>
    <n v="1"/>
    <n v="273"/>
    <x v="2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x v="0"/>
    <x v="5"/>
    <n v="7"/>
    <n v="1"/>
    <n v="7"/>
  </r>
  <r>
    <n v="27"/>
    <x v="1"/>
    <s v="Travel_Frequently"/>
    <n v="472"/>
    <x v="1"/>
    <n v="1"/>
    <n v="1"/>
    <s v="Technical Degree"/>
    <n v="1"/>
    <n v="274"/>
    <x v="1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x v="1"/>
    <x v="4"/>
    <n v="2"/>
    <n v="2"/>
    <n v="0"/>
  </r>
  <r>
    <n v="49"/>
    <x v="1"/>
    <s v="Non-Travel"/>
    <n v="1002"/>
    <x v="1"/>
    <n v="18"/>
    <n v="4"/>
    <s v="Life Sciences"/>
    <n v="1"/>
    <n v="275"/>
    <x v="2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x v="1"/>
    <x v="5"/>
    <n v="7"/>
    <n v="1"/>
    <n v="7"/>
  </r>
  <r>
    <n v="34"/>
    <x v="1"/>
    <s v="Travel_Frequently"/>
    <n v="878"/>
    <x v="1"/>
    <n v="10"/>
    <n v="4"/>
    <s v="Medical"/>
    <n v="1"/>
    <n v="277"/>
    <x v="2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x v="3"/>
    <x v="8"/>
    <n v="3"/>
    <n v="2"/>
    <n v="0"/>
  </r>
  <r>
    <n v="40"/>
    <x v="1"/>
    <s v="Travel_Rarely"/>
    <n v="905"/>
    <x v="1"/>
    <n v="19"/>
    <n v="2"/>
    <s v="Medical"/>
    <n v="1"/>
    <n v="281"/>
    <x v="1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x v="3"/>
    <x v="5"/>
    <n v="2"/>
    <n v="3"/>
    <n v="7"/>
  </r>
  <r>
    <n v="38"/>
    <x v="0"/>
    <s v="Travel_Rarely"/>
    <n v="1180"/>
    <x v="1"/>
    <n v="29"/>
    <n v="1"/>
    <s v="Medical"/>
    <n v="1"/>
    <n v="282"/>
    <x v="0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x v="1"/>
    <x v="6"/>
    <n v="0"/>
    <n v="0"/>
    <n v="0"/>
  </r>
  <r>
    <n v="29"/>
    <x v="0"/>
    <s v="Travel_Rarely"/>
    <n v="121"/>
    <x v="0"/>
    <n v="27"/>
    <n v="3"/>
    <s v="Marketing"/>
    <n v="1"/>
    <n v="283"/>
    <x v="0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x v="2"/>
    <x v="1"/>
    <n v="4"/>
    <n v="1"/>
    <n v="9"/>
  </r>
  <r>
    <n v="22"/>
    <x v="1"/>
    <s v="Travel_Rarely"/>
    <n v="1136"/>
    <x v="1"/>
    <n v="5"/>
    <n v="3"/>
    <s v="Life Sciences"/>
    <n v="1"/>
    <n v="284"/>
    <x v="2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x v="2"/>
    <x v="9"/>
    <n v="2"/>
    <n v="2"/>
    <n v="2"/>
  </r>
  <r>
    <n v="36"/>
    <x v="1"/>
    <s v="Travel_Frequently"/>
    <n v="635"/>
    <x v="1"/>
    <n v="18"/>
    <n v="1"/>
    <s v="Medical"/>
    <n v="1"/>
    <n v="286"/>
    <x v="0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x v="1"/>
    <x v="3"/>
    <n v="1"/>
    <n v="1"/>
    <n v="7"/>
  </r>
  <r>
    <n v="40"/>
    <x v="1"/>
    <s v="Non-Travel"/>
    <n v="1151"/>
    <x v="1"/>
    <n v="9"/>
    <n v="5"/>
    <s v="Life Sciences"/>
    <n v="1"/>
    <n v="287"/>
    <x v="2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x v="0"/>
    <x v="11"/>
    <n v="2"/>
    <n v="0"/>
    <n v="2"/>
  </r>
  <r>
    <n v="46"/>
    <x v="1"/>
    <s v="Travel_Rarely"/>
    <n v="644"/>
    <x v="1"/>
    <n v="1"/>
    <n v="4"/>
    <s v="Medical"/>
    <n v="1"/>
    <n v="288"/>
    <x v="2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x v="1"/>
    <x v="9"/>
    <n v="2"/>
    <n v="0"/>
    <n v="3"/>
  </r>
  <r>
    <n v="32"/>
    <x v="0"/>
    <s v="Travel_Rarely"/>
    <n v="1045"/>
    <x v="0"/>
    <n v="4"/>
    <n v="4"/>
    <s v="Medical"/>
    <n v="1"/>
    <n v="291"/>
    <x v="2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x v="2"/>
    <x v="13"/>
    <n v="8"/>
    <n v="9"/>
    <n v="8"/>
  </r>
  <r>
    <n v="30"/>
    <x v="1"/>
    <s v="Non-Travel"/>
    <n v="829"/>
    <x v="1"/>
    <n v="1"/>
    <n v="1"/>
    <s v="Life Sciences"/>
    <n v="1"/>
    <n v="292"/>
    <x v="1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x v="1"/>
    <x v="19"/>
    <n v="8"/>
    <n v="5"/>
    <n v="8"/>
  </r>
  <r>
    <n v="27"/>
    <x v="1"/>
    <s v="Travel_Frequently"/>
    <n v="1242"/>
    <x v="0"/>
    <n v="20"/>
    <n v="3"/>
    <s v="Life Sciences"/>
    <n v="1"/>
    <n v="293"/>
    <x v="2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x v="1"/>
    <x v="5"/>
    <n v="7"/>
    <n v="0"/>
    <n v="7"/>
  </r>
  <r>
    <n v="51"/>
    <x v="1"/>
    <s v="Travel_Rarely"/>
    <n v="1469"/>
    <x v="1"/>
    <n v="8"/>
    <n v="4"/>
    <s v="Life Sciences"/>
    <n v="1"/>
    <n v="296"/>
    <x v="0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x v="0"/>
    <x v="1"/>
    <n v="9"/>
    <n v="4"/>
    <n v="7"/>
  </r>
  <r>
    <n v="30"/>
    <x v="0"/>
    <s v="Travel_Rarely"/>
    <n v="1005"/>
    <x v="1"/>
    <n v="3"/>
    <n v="3"/>
    <s v="Technical Degree"/>
    <n v="1"/>
    <n v="297"/>
    <x v="2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x v="1"/>
    <x v="8"/>
    <n v="2"/>
    <n v="0"/>
    <n v="4"/>
  </r>
  <r>
    <n v="41"/>
    <x v="1"/>
    <s v="Travel_Rarely"/>
    <n v="896"/>
    <x v="0"/>
    <n v="6"/>
    <n v="3"/>
    <s v="Life Sciences"/>
    <n v="1"/>
    <n v="298"/>
    <x v="2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x v="1"/>
    <x v="6"/>
    <n v="0"/>
    <n v="0"/>
    <n v="0"/>
  </r>
  <r>
    <n v="30"/>
    <x v="0"/>
    <s v="Travel_Frequently"/>
    <n v="334"/>
    <x v="0"/>
    <n v="26"/>
    <n v="4"/>
    <s v="Marketing"/>
    <n v="1"/>
    <n v="299"/>
    <x v="1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x v="2"/>
    <x v="0"/>
    <n v="3"/>
    <n v="0"/>
    <n v="1"/>
  </r>
  <r>
    <n v="29"/>
    <x v="0"/>
    <s v="Travel_Rarely"/>
    <n v="992"/>
    <x v="1"/>
    <n v="1"/>
    <n v="3"/>
    <s v="Technical Degree"/>
    <n v="1"/>
    <n v="300"/>
    <x v="1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x v="2"/>
    <x v="0"/>
    <n v="2"/>
    <n v="1"/>
    <n v="5"/>
  </r>
  <r>
    <n v="45"/>
    <x v="1"/>
    <s v="Non-Travel"/>
    <n v="1052"/>
    <x v="0"/>
    <n v="6"/>
    <n v="3"/>
    <s v="Medical"/>
    <n v="1"/>
    <n v="302"/>
    <x v="2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x v="1"/>
    <x v="27"/>
    <n v="7"/>
    <n v="12"/>
    <n v="8"/>
  </r>
  <r>
    <n v="54"/>
    <x v="1"/>
    <s v="Travel_Rarely"/>
    <n v="1147"/>
    <x v="0"/>
    <n v="3"/>
    <n v="3"/>
    <s v="Marketing"/>
    <n v="1"/>
    <n v="303"/>
    <x v="2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x v="1"/>
    <x v="0"/>
    <n v="2"/>
    <n v="0"/>
    <n v="5"/>
  </r>
  <r>
    <n v="36"/>
    <x v="1"/>
    <s v="Travel_Rarely"/>
    <n v="1396"/>
    <x v="1"/>
    <n v="5"/>
    <n v="2"/>
    <s v="Life Sciences"/>
    <n v="1"/>
    <n v="304"/>
    <x v="2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x v="3"/>
    <x v="20"/>
    <n v="11"/>
    <n v="3"/>
    <n v="7"/>
  </r>
  <r>
    <n v="33"/>
    <x v="1"/>
    <s v="Travel_Rarely"/>
    <n v="147"/>
    <x v="1"/>
    <n v="4"/>
    <n v="4"/>
    <s v="Medical"/>
    <n v="1"/>
    <n v="305"/>
    <x v="1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x v="1"/>
    <x v="11"/>
    <n v="2"/>
    <n v="1"/>
    <n v="1"/>
  </r>
  <r>
    <n v="37"/>
    <x v="1"/>
    <s v="Travel_Frequently"/>
    <n v="663"/>
    <x v="1"/>
    <n v="11"/>
    <n v="3"/>
    <s v="Other"/>
    <n v="1"/>
    <n v="306"/>
    <x v="0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x v="1"/>
    <x v="1"/>
    <n v="8"/>
    <n v="0"/>
    <n v="7"/>
  </r>
  <r>
    <n v="38"/>
    <x v="1"/>
    <s v="Travel_Rarely"/>
    <n v="119"/>
    <x v="0"/>
    <n v="3"/>
    <n v="3"/>
    <s v="Life Sciences"/>
    <n v="1"/>
    <n v="307"/>
    <x v="3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x v="2"/>
    <x v="22"/>
    <n v="10"/>
    <n v="5"/>
    <n v="13"/>
  </r>
  <r>
    <n v="31"/>
    <x v="1"/>
    <s v="Non-Travel"/>
    <n v="979"/>
    <x v="1"/>
    <n v="1"/>
    <n v="4"/>
    <s v="Medical"/>
    <n v="1"/>
    <n v="308"/>
    <x v="1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x v="1"/>
    <x v="8"/>
    <n v="4"/>
    <n v="1"/>
    <n v="4"/>
  </r>
  <r>
    <n v="59"/>
    <x v="1"/>
    <s v="Travel_Rarely"/>
    <n v="142"/>
    <x v="1"/>
    <n v="3"/>
    <n v="3"/>
    <s v="Life Sciences"/>
    <n v="1"/>
    <n v="309"/>
    <x v="1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x v="1"/>
    <x v="6"/>
    <n v="0"/>
    <n v="0"/>
    <n v="0"/>
  </r>
  <r>
    <n v="37"/>
    <x v="1"/>
    <s v="Travel_Frequently"/>
    <n v="319"/>
    <x v="0"/>
    <n v="4"/>
    <n v="4"/>
    <s v="Marketing"/>
    <n v="1"/>
    <n v="311"/>
    <x v="3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x v="1"/>
    <x v="7"/>
    <n v="8"/>
    <n v="5"/>
    <n v="8"/>
  </r>
  <r>
    <n v="29"/>
    <x v="1"/>
    <s v="Travel_Frequently"/>
    <n v="1413"/>
    <x v="0"/>
    <n v="1"/>
    <n v="1"/>
    <s v="Medical"/>
    <n v="1"/>
    <n v="312"/>
    <x v="0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x v="1"/>
    <x v="19"/>
    <n v="10"/>
    <n v="4"/>
    <n v="1"/>
  </r>
  <r>
    <n v="35"/>
    <x v="1"/>
    <s v="Travel_Frequently"/>
    <n v="944"/>
    <x v="0"/>
    <n v="1"/>
    <n v="3"/>
    <s v="Marketing"/>
    <n v="1"/>
    <n v="314"/>
    <x v="1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x v="3"/>
    <x v="1"/>
    <n v="7"/>
    <n v="0"/>
    <n v="8"/>
  </r>
  <r>
    <n v="29"/>
    <x v="0"/>
    <s v="Travel_Rarely"/>
    <n v="896"/>
    <x v="1"/>
    <n v="18"/>
    <n v="1"/>
    <s v="Medical"/>
    <n v="1"/>
    <n v="315"/>
    <x v="1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x v="2"/>
    <x v="9"/>
    <n v="3"/>
    <n v="0"/>
    <n v="1"/>
  </r>
  <r>
    <n v="52"/>
    <x v="1"/>
    <s v="Travel_Rarely"/>
    <n v="1323"/>
    <x v="1"/>
    <n v="2"/>
    <n v="3"/>
    <s v="Life Sciences"/>
    <n v="1"/>
    <n v="316"/>
    <x v="1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x v="2"/>
    <x v="4"/>
    <n v="2"/>
    <n v="2"/>
    <n v="2"/>
  </r>
  <r>
    <n v="42"/>
    <x v="1"/>
    <s v="Travel_Rarely"/>
    <n v="532"/>
    <x v="1"/>
    <n v="4"/>
    <n v="2"/>
    <s v="Technical Degree"/>
    <n v="1"/>
    <n v="319"/>
    <x v="1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x v="1"/>
    <x v="14"/>
    <n v="17"/>
    <n v="11"/>
    <n v="15"/>
  </r>
  <r>
    <n v="59"/>
    <x v="1"/>
    <s v="Travel_Rarely"/>
    <n v="818"/>
    <x v="2"/>
    <n v="6"/>
    <n v="2"/>
    <s v="Medical"/>
    <n v="1"/>
    <n v="321"/>
    <x v="0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x v="2"/>
    <x v="4"/>
    <n v="2"/>
    <n v="2"/>
    <n v="2"/>
  </r>
  <r>
    <n v="50"/>
    <x v="1"/>
    <s v="Travel_Rarely"/>
    <n v="854"/>
    <x v="0"/>
    <n v="1"/>
    <n v="4"/>
    <s v="Medical"/>
    <n v="1"/>
    <n v="323"/>
    <x v="2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x v="2"/>
    <x v="5"/>
    <n v="0"/>
    <n v="0"/>
    <n v="6"/>
  </r>
  <r>
    <n v="33"/>
    <x v="0"/>
    <s v="Travel_Rarely"/>
    <n v="813"/>
    <x v="1"/>
    <n v="14"/>
    <n v="3"/>
    <s v="Medical"/>
    <n v="1"/>
    <n v="325"/>
    <x v="1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x v="0"/>
    <x v="8"/>
    <n v="4"/>
    <n v="0"/>
    <n v="4"/>
  </r>
  <r>
    <n v="43"/>
    <x v="1"/>
    <s v="Travel_Rarely"/>
    <n v="1034"/>
    <x v="0"/>
    <n v="16"/>
    <n v="3"/>
    <s v="Marketing"/>
    <n v="1"/>
    <n v="327"/>
    <x v="2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x v="1"/>
    <x v="18"/>
    <n v="13"/>
    <n v="1"/>
    <n v="9"/>
  </r>
  <r>
    <n v="33"/>
    <x v="0"/>
    <s v="Travel_Rarely"/>
    <n v="465"/>
    <x v="1"/>
    <n v="2"/>
    <n v="2"/>
    <s v="Life Sciences"/>
    <n v="1"/>
    <n v="328"/>
    <x v="3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x v="3"/>
    <x v="7"/>
    <n v="7"/>
    <n v="1"/>
    <n v="7"/>
  </r>
  <r>
    <n v="52"/>
    <x v="1"/>
    <s v="Non-Travel"/>
    <n v="771"/>
    <x v="0"/>
    <n v="2"/>
    <n v="4"/>
    <s v="Life Sciences"/>
    <n v="1"/>
    <n v="329"/>
    <x v="3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x v="3"/>
    <x v="26"/>
    <n v="7"/>
    <n v="15"/>
    <n v="12"/>
  </r>
  <r>
    <n v="32"/>
    <x v="1"/>
    <s v="Travel_Rarely"/>
    <n v="1401"/>
    <x v="0"/>
    <n v="4"/>
    <n v="2"/>
    <s v="Life Sciences"/>
    <n v="1"/>
    <n v="330"/>
    <x v="1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x v="1"/>
    <x v="9"/>
    <n v="3"/>
    <n v="1"/>
    <n v="2"/>
  </r>
  <r>
    <n v="32"/>
    <x v="0"/>
    <s v="Travel_Rarely"/>
    <n v="515"/>
    <x v="1"/>
    <n v="1"/>
    <n v="3"/>
    <s v="Life Sciences"/>
    <n v="1"/>
    <n v="331"/>
    <x v="2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x v="0"/>
    <x v="11"/>
    <n v="2"/>
    <n v="1"/>
    <n v="2"/>
  </r>
  <r>
    <n v="39"/>
    <x v="1"/>
    <s v="Travel_Rarely"/>
    <n v="1431"/>
    <x v="1"/>
    <n v="1"/>
    <n v="4"/>
    <s v="Medical"/>
    <n v="1"/>
    <n v="332"/>
    <x v="1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x v="1"/>
    <x v="11"/>
    <n v="2"/>
    <n v="1"/>
    <n v="2"/>
  </r>
  <r>
    <n v="32"/>
    <x v="1"/>
    <s v="Non-Travel"/>
    <n v="976"/>
    <x v="0"/>
    <n v="26"/>
    <n v="4"/>
    <s v="Marketing"/>
    <n v="1"/>
    <n v="333"/>
    <x v="1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x v="1"/>
    <x v="11"/>
    <n v="2"/>
    <n v="2"/>
    <n v="2"/>
  </r>
  <r>
    <n v="41"/>
    <x v="1"/>
    <s v="Travel_Rarely"/>
    <n v="1411"/>
    <x v="1"/>
    <n v="19"/>
    <n v="2"/>
    <s v="Life Sciences"/>
    <n v="1"/>
    <n v="334"/>
    <x v="1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x v="2"/>
    <x v="6"/>
    <n v="0"/>
    <n v="0"/>
    <n v="0"/>
  </r>
  <r>
    <n v="40"/>
    <x v="1"/>
    <s v="Travel_Rarely"/>
    <n v="1300"/>
    <x v="1"/>
    <n v="24"/>
    <n v="2"/>
    <s v="Technical Degree"/>
    <n v="1"/>
    <n v="335"/>
    <x v="3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x v="1"/>
    <x v="7"/>
    <n v="8"/>
    <n v="4"/>
    <n v="7"/>
  </r>
  <r>
    <n v="45"/>
    <x v="1"/>
    <s v="Travel_Rarely"/>
    <n v="252"/>
    <x v="1"/>
    <n v="1"/>
    <n v="3"/>
    <s v="Other"/>
    <n v="1"/>
    <n v="336"/>
    <x v="1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x v="1"/>
    <x v="25"/>
    <n v="0"/>
    <n v="1"/>
    <n v="7"/>
  </r>
  <r>
    <n v="31"/>
    <x v="1"/>
    <s v="Travel_Frequently"/>
    <n v="1327"/>
    <x v="1"/>
    <n v="3"/>
    <n v="4"/>
    <s v="Medical"/>
    <n v="1"/>
    <n v="337"/>
    <x v="0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x v="1"/>
    <x v="4"/>
    <n v="2"/>
    <n v="2"/>
    <n v="2"/>
  </r>
  <r>
    <n v="33"/>
    <x v="1"/>
    <s v="Travel_Rarely"/>
    <n v="832"/>
    <x v="1"/>
    <n v="5"/>
    <n v="4"/>
    <s v="Life Sciences"/>
    <n v="1"/>
    <n v="338"/>
    <x v="1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x v="2"/>
    <x v="4"/>
    <n v="2"/>
    <n v="0"/>
    <n v="2"/>
  </r>
  <r>
    <n v="34"/>
    <x v="1"/>
    <s v="Travel_Rarely"/>
    <n v="470"/>
    <x v="1"/>
    <n v="2"/>
    <n v="4"/>
    <s v="Life Sciences"/>
    <n v="1"/>
    <n v="339"/>
    <x v="2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x v="1"/>
    <x v="19"/>
    <n v="9"/>
    <n v="5"/>
    <n v="9"/>
  </r>
  <r>
    <n v="37"/>
    <x v="1"/>
    <s v="Travel_Rarely"/>
    <n v="1017"/>
    <x v="1"/>
    <n v="1"/>
    <n v="2"/>
    <s v="Medical"/>
    <n v="1"/>
    <n v="340"/>
    <x v="1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x v="2"/>
    <x v="11"/>
    <n v="1"/>
    <n v="0"/>
    <n v="2"/>
  </r>
  <r>
    <n v="45"/>
    <x v="1"/>
    <s v="Travel_Frequently"/>
    <n v="1199"/>
    <x v="1"/>
    <n v="7"/>
    <n v="4"/>
    <s v="Life Sciences"/>
    <n v="1"/>
    <n v="341"/>
    <x v="3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x v="1"/>
    <x v="11"/>
    <n v="2"/>
    <n v="0"/>
    <n v="2"/>
  </r>
  <r>
    <n v="37"/>
    <x v="0"/>
    <s v="Travel_Frequently"/>
    <n v="504"/>
    <x v="1"/>
    <n v="10"/>
    <n v="3"/>
    <s v="Medical"/>
    <n v="1"/>
    <n v="342"/>
    <x v="3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x v="1"/>
    <x v="6"/>
    <n v="0"/>
    <n v="0"/>
    <n v="0"/>
  </r>
  <r>
    <n v="39"/>
    <x v="1"/>
    <s v="Travel_Frequently"/>
    <n v="505"/>
    <x v="1"/>
    <n v="2"/>
    <n v="4"/>
    <s v="Technical Degree"/>
    <n v="1"/>
    <n v="343"/>
    <x v="1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x v="1"/>
    <x v="27"/>
    <n v="6"/>
    <n v="11"/>
    <n v="8"/>
  </r>
  <r>
    <n v="29"/>
    <x v="1"/>
    <s v="Travel_Rarely"/>
    <n v="665"/>
    <x v="1"/>
    <n v="15"/>
    <n v="3"/>
    <s v="Life Sciences"/>
    <n v="1"/>
    <n v="346"/>
    <x v="1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x v="1"/>
    <x v="0"/>
    <n v="5"/>
    <n v="1"/>
    <n v="5"/>
  </r>
  <r>
    <n v="42"/>
    <x v="1"/>
    <s v="Travel_Rarely"/>
    <n v="916"/>
    <x v="1"/>
    <n v="17"/>
    <n v="2"/>
    <s v="Life Sciences"/>
    <n v="1"/>
    <n v="347"/>
    <x v="2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x v="1"/>
    <x v="11"/>
    <n v="2"/>
    <n v="0"/>
    <n v="2"/>
  </r>
  <r>
    <n v="29"/>
    <x v="1"/>
    <s v="Travel_Rarely"/>
    <n v="1247"/>
    <x v="0"/>
    <n v="20"/>
    <n v="2"/>
    <s v="Marketing"/>
    <n v="1"/>
    <n v="349"/>
    <x v="2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x v="1"/>
    <x v="11"/>
    <n v="2"/>
    <n v="0"/>
    <n v="2"/>
  </r>
  <r>
    <n v="25"/>
    <x v="1"/>
    <s v="Travel_Rarely"/>
    <n v="685"/>
    <x v="1"/>
    <n v="1"/>
    <n v="3"/>
    <s v="Life Sciences"/>
    <n v="1"/>
    <n v="350"/>
    <x v="3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x v="1"/>
    <x v="9"/>
    <n v="2"/>
    <n v="1"/>
    <n v="2"/>
  </r>
  <r>
    <n v="42"/>
    <x v="1"/>
    <s v="Travel_Rarely"/>
    <n v="269"/>
    <x v="1"/>
    <n v="2"/>
    <n v="3"/>
    <s v="Medical"/>
    <n v="1"/>
    <n v="351"/>
    <x v="2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x v="1"/>
    <x v="7"/>
    <n v="6"/>
    <n v="7"/>
    <n v="8"/>
  </r>
  <r>
    <n v="40"/>
    <x v="1"/>
    <s v="Travel_Rarely"/>
    <n v="1416"/>
    <x v="1"/>
    <n v="2"/>
    <n v="2"/>
    <s v="Medical"/>
    <n v="1"/>
    <n v="352"/>
    <x v="3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x v="1"/>
    <x v="17"/>
    <n v="7"/>
    <n v="3"/>
    <n v="9"/>
  </r>
  <r>
    <n v="51"/>
    <x v="1"/>
    <s v="Travel_Rarely"/>
    <n v="833"/>
    <x v="1"/>
    <n v="1"/>
    <n v="3"/>
    <s v="Life Sciences"/>
    <n v="1"/>
    <n v="353"/>
    <x v="1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x v="2"/>
    <x v="6"/>
    <n v="0"/>
    <n v="0"/>
    <n v="0"/>
  </r>
  <r>
    <n v="31"/>
    <x v="0"/>
    <s v="Travel_Frequently"/>
    <n v="307"/>
    <x v="1"/>
    <n v="29"/>
    <n v="2"/>
    <s v="Medical"/>
    <n v="1"/>
    <n v="355"/>
    <x v="1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x v="3"/>
    <x v="8"/>
    <n v="4"/>
    <n v="1"/>
    <n v="4"/>
  </r>
  <r>
    <n v="32"/>
    <x v="1"/>
    <s v="Travel_Frequently"/>
    <n v="1311"/>
    <x v="1"/>
    <n v="7"/>
    <n v="3"/>
    <s v="Life Sciences"/>
    <n v="1"/>
    <n v="359"/>
    <x v="0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x v="0"/>
    <x v="8"/>
    <n v="1"/>
    <n v="0"/>
    <n v="3"/>
  </r>
  <r>
    <n v="38"/>
    <x v="1"/>
    <s v="Non-Travel"/>
    <n v="1327"/>
    <x v="0"/>
    <n v="2"/>
    <n v="2"/>
    <s v="Life Sciences"/>
    <n v="1"/>
    <n v="361"/>
    <x v="2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x v="1"/>
    <x v="3"/>
    <n v="7"/>
    <n v="7"/>
    <n v="5"/>
  </r>
  <r>
    <n v="32"/>
    <x v="1"/>
    <s v="Travel_Rarely"/>
    <n v="128"/>
    <x v="1"/>
    <n v="2"/>
    <n v="1"/>
    <s v="Technical Degree"/>
    <n v="1"/>
    <n v="362"/>
    <x v="2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x v="1"/>
    <x v="0"/>
    <n v="2"/>
    <n v="0"/>
    <n v="4"/>
  </r>
  <r>
    <n v="46"/>
    <x v="1"/>
    <s v="Travel_Rarely"/>
    <n v="488"/>
    <x v="0"/>
    <n v="2"/>
    <n v="3"/>
    <s v="Technical Degree"/>
    <n v="1"/>
    <n v="363"/>
    <x v="1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x v="2"/>
    <x v="5"/>
    <n v="7"/>
    <n v="7"/>
    <n v="7"/>
  </r>
  <r>
    <n v="28"/>
    <x v="0"/>
    <s v="Travel_Rarely"/>
    <n v="529"/>
    <x v="1"/>
    <n v="2"/>
    <n v="4"/>
    <s v="Life Sciences"/>
    <n v="1"/>
    <n v="364"/>
    <x v="3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x v="0"/>
    <x v="2"/>
    <n v="0"/>
    <n v="0"/>
    <n v="0"/>
  </r>
  <r>
    <n v="29"/>
    <x v="1"/>
    <s v="Travel_Rarely"/>
    <n v="1210"/>
    <x v="0"/>
    <n v="2"/>
    <n v="3"/>
    <s v="Medical"/>
    <n v="1"/>
    <n v="366"/>
    <x v="3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x v="1"/>
    <x v="2"/>
    <n v="0"/>
    <n v="0"/>
    <n v="0"/>
  </r>
  <r>
    <n v="31"/>
    <x v="1"/>
    <s v="Travel_Rarely"/>
    <n v="1463"/>
    <x v="1"/>
    <n v="23"/>
    <n v="3"/>
    <s v="Medical"/>
    <n v="1"/>
    <n v="367"/>
    <x v="0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x v="1"/>
    <x v="7"/>
    <n v="0"/>
    <n v="7"/>
    <n v="8"/>
  </r>
  <r>
    <n v="25"/>
    <x v="1"/>
    <s v="Non-Travel"/>
    <n v="675"/>
    <x v="1"/>
    <n v="5"/>
    <n v="2"/>
    <s v="Life Sciences"/>
    <n v="1"/>
    <n v="369"/>
    <x v="0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x v="1"/>
    <x v="0"/>
    <n v="3"/>
    <n v="1"/>
    <n v="5"/>
  </r>
  <r>
    <n v="45"/>
    <x v="1"/>
    <s v="Travel_Rarely"/>
    <n v="1385"/>
    <x v="1"/>
    <n v="20"/>
    <n v="2"/>
    <s v="Medical"/>
    <n v="1"/>
    <n v="372"/>
    <x v="1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x v="1"/>
    <x v="23"/>
    <n v="7"/>
    <n v="4"/>
    <n v="10"/>
  </r>
  <r>
    <n v="36"/>
    <x v="1"/>
    <s v="Travel_Rarely"/>
    <n v="1403"/>
    <x v="1"/>
    <n v="6"/>
    <n v="3"/>
    <s v="Life Sciences"/>
    <n v="1"/>
    <n v="373"/>
    <x v="2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x v="1"/>
    <x v="15"/>
    <n v="13"/>
    <n v="10"/>
    <n v="11"/>
  </r>
  <r>
    <n v="55"/>
    <x v="1"/>
    <s v="Travel_Rarely"/>
    <n v="452"/>
    <x v="1"/>
    <n v="1"/>
    <n v="3"/>
    <s v="Medical"/>
    <n v="1"/>
    <n v="374"/>
    <x v="2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x v="1"/>
    <x v="28"/>
    <n v="10"/>
    <n v="4"/>
    <n v="13"/>
  </r>
  <r>
    <n v="47"/>
    <x v="0"/>
    <s v="Non-Travel"/>
    <n v="666"/>
    <x v="1"/>
    <n v="29"/>
    <n v="4"/>
    <s v="Life Sciences"/>
    <n v="1"/>
    <n v="376"/>
    <x v="3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x v="2"/>
    <x v="1"/>
    <n v="7"/>
    <n v="9"/>
    <n v="9"/>
  </r>
  <r>
    <n v="28"/>
    <x v="1"/>
    <s v="Travel_Rarely"/>
    <n v="1158"/>
    <x v="1"/>
    <n v="9"/>
    <n v="3"/>
    <s v="Medical"/>
    <n v="1"/>
    <n v="377"/>
    <x v="2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x v="2"/>
    <x v="8"/>
    <n v="2"/>
    <n v="0"/>
    <n v="4"/>
  </r>
  <r>
    <n v="37"/>
    <x v="1"/>
    <s v="Travel_Rarely"/>
    <n v="228"/>
    <x v="0"/>
    <n v="6"/>
    <n v="4"/>
    <s v="Medical"/>
    <n v="1"/>
    <n v="378"/>
    <x v="1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x v="3"/>
    <x v="8"/>
    <n v="4"/>
    <n v="0"/>
    <n v="1"/>
  </r>
  <r>
    <n v="21"/>
    <x v="1"/>
    <s v="Travel_Rarely"/>
    <n v="996"/>
    <x v="1"/>
    <n v="3"/>
    <n v="2"/>
    <s v="Medical"/>
    <n v="1"/>
    <n v="379"/>
    <x v="2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x v="3"/>
    <x v="11"/>
    <n v="2"/>
    <n v="1"/>
    <n v="0"/>
  </r>
  <r>
    <n v="37"/>
    <x v="1"/>
    <s v="Non-Travel"/>
    <n v="728"/>
    <x v="1"/>
    <n v="1"/>
    <n v="4"/>
    <s v="Medical"/>
    <n v="1"/>
    <n v="380"/>
    <x v="3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x v="1"/>
    <x v="8"/>
    <n v="2"/>
    <n v="0"/>
    <n v="2"/>
  </r>
  <r>
    <n v="35"/>
    <x v="1"/>
    <s v="Travel_Rarely"/>
    <n v="1315"/>
    <x v="1"/>
    <n v="22"/>
    <n v="3"/>
    <s v="Life Sciences"/>
    <n v="1"/>
    <n v="381"/>
    <x v="0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x v="2"/>
    <x v="5"/>
    <n v="7"/>
    <n v="6"/>
    <n v="2"/>
  </r>
  <r>
    <n v="38"/>
    <x v="1"/>
    <s v="Travel_Rarely"/>
    <n v="322"/>
    <x v="0"/>
    <n v="7"/>
    <n v="2"/>
    <s v="Medical"/>
    <n v="1"/>
    <n v="382"/>
    <x v="3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x v="1"/>
    <x v="3"/>
    <n v="0"/>
    <n v="7"/>
    <n v="7"/>
  </r>
  <r>
    <n v="26"/>
    <x v="1"/>
    <s v="Travel_Frequently"/>
    <n v="1479"/>
    <x v="1"/>
    <n v="1"/>
    <n v="3"/>
    <s v="Life Sciences"/>
    <n v="1"/>
    <n v="384"/>
    <x v="1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x v="0"/>
    <x v="0"/>
    <n v="5"/>
    <n v="1"/>
    <n v="4"/>
  </r>
  <r>
    <n v="50"/>
    <x v="1"/>
    <s v="Travel_Rarely"/>
    <n v="797"/>
    <x v="1"/>
    <n v="4"/>
    <n v="1"/>
    <s v="Life Sciences"/>
    <n v="1"/>
    <n v="385"/>
    <x v="3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x v="2"/>
    <x v="1"/>
    <n v="4"/>
    <n v="1"/>
    <n v="6"/>
  </r>
  <r>
    <n v="53"/>
    <x v="1"/>
    <s v="Travel_Rarely"/>
    <n v="1070"/>
    <x v="1"/>
    <n v="3"/>
    <n v="4"/>
    <s v="Medical"/>
    <n v="1"/>
    <n v="386"/>
    <x v="1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x v="2"/>
    <x v="8"/>
    <n v="3"/>
    <n v="1"/>
    <n v="3"/>
  </r>
  <r>
    <n v="42"/>
    <x v="1"/>
    <s v="Travel_Rarely"/>
    <n v="635"/>
    <x v="0"/>
    <n v="1"/>
    <n v="1"/>
    <s v="Life Sciences"/>
    <n v="1"/>
    <n v="387"/>
    <x v="0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x v="1"/>
    <x v="23"/>
    <n v="16"/>
    <n v="11"/>
    <n v="6"/>
  </r>
  <r>
    <n v="29"/>
    <x v="1"/>
    <s v="Travel_Frequently"/>
    <n v="442"/>
    <x v="0"/>
    <n v="2"/>
    <n v="2"/>
    <s v="Life Sciences"/>
    <n v="1"/>
    <n v="388"/>
    <x v="0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x v="2"/>
    <x v="1"/>
    <n v="7"/>
    <n v="0"/>
    <n v="9"/>
  </r>
  <r>
    <n v="55"/>
    <x v="1"/>
    <s v="Travel_Rarely"/>
    <n v="147"/>
    <x v="1"/>
    <n v="20"/>
    <n v="2"/>
    <s v="Technical Degree"/>
    <n v="1"/>
    <n v="389"/>
    <x v="0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x v="1"/>
    <x v="1"/>
    <n v="7"/>
    <n v="0"/>
    <n v="8"/>
  </r>
  <r>
    <n v="26"/>
    <x v="1"/>
    <s v="Travel_Frequently"/>
    <n v="496"/>
    <x v="1"/>
    <n v="11"/>
    <n v="2"/>
    <s v="Medical"/>
    <n v="1"/>
    <n v="390"/>
    <x v="3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x v="1"/>
    <x v="8"/>
    <n v="3"/>
    <n v="3"/>
    <n v="3"/>
  </r>
  <r>
    <n v="37"/>
    <x v="1"/>
    <s v="Travel_Rarely"/>
    <n v="1372"/>
    <x v="1"/>
    <n v="1"/>
    <n v="3"/>
    <s v="Life Sciences"/>
    <n v="1"/>
    <n v="391"/>
    <x v="2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x v="1"/>
    <x v="18"/>
    <n v="12"/>
    <n v="5"/>
    <n v="7"/>
  </r>
  <r>
    <n v="44"/>
    <x v="0"/>
    <s v="Travel_Frequently"/>
    <n v="920"/>
    <x v="1"/>
    <n v="24"/>
    <n v="3"/>
    <s v="Life Sciences"/>
    <n v="1"/>
    <n v="392"/>
    <x v="2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x v="0"/>
    <x v="6"/>
    <n v="0"/>
    <n v="0"/>
    <n v="0"/>
  </r>
  <r>
    <n v="38"/>
    <x v="1"/>
    <s v="Travel_Rarely"/>
    <n v="688"/>
    <x v="1"/>
    <n v="23"/>
    <n v="4"/>
    <s v="Life Sciences"/>
    <n v="1"/>
    <n v="393"/>
    <x v="2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x v="1"/>
    <x v="4"/>
    <n v="2"/>
    <n v="1"/>
    <n v="2"/>
  </r>
  <r>
    <n v="26"/>
    <x v="0"/>
    <s v="Travel_Rarely"/>
    <n v="1449"/>
    <x v="1"/>
    <n v="16"/>
    <n v="4"/>
    <s v="Medical"/>
    <n v="1"/>
    <n v="394"/>
    <x v="3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x v="1"/>
    <x v="11"/>
    <n v="2"/>
    <n v="0"/>
    <n v="2"/>
  </r>
  <r>
    <n v="28"/>
    <x v="1"/>
    <s v="Travel_Rarely"/>
    <n v="1117"/>
    <x v="1"/>
    <n v="8"/>
    <n v="2"/>
    <s v="Life Sciences"/>
    <n v="1"/>
    <n v="395"/>
    <x v="2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x v="1"/>
    <x v="8"/>
    <n v="3"/>
    <n v="0"/>
    <n v="2"/>
  </r>
  <r>
    <n v="49"/>
    <x v="1"/>
    <s v="Travel_Frequently"/>
    <n v="636"/>
    <x v="1"/>
    <n v="10"/>
    <n v="4"/>
    <s v="Life Sciences"/>
    <n v="1"/>
    <n v="396"/>
    <x v="1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x v="1"/>
    <x v="11"/>
    <n v="2"/>
    <n v="1"/>
    <n v="2"/>
  </r>
  <r>
    <n v="36"/>
    <x v="1"/>
    <s v="Travel_Rarely"/>
    <n v="506"/>
    <x v="1"/>
    <n v="3"/>
    <n v="3"/>
    <s v="Technical Degree"/>
    <n v="1"/>
    <n v="397"/>
    <x v="1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x v="1"/>
    <x v="3"/>
    <n v="0"/>
    <n v="7"/>
    <n v="7"/>
  </r>
  <r>
    <n v="31"/>
    <x v="1"/>
    <s v="Travel_Frequently"/>
    <n v="444"/>
    <x v="0"/>
    <n v="5"/>
    <n v="3"/>
    <s v="Marketing"/>
    <n v="1"/>
    <n v="399"/>
    <x v="2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x v="2"/>
    <x v="4"/>
    <n v="2"/>
    <n v="2"/>
    <n v="2"/>
  </r>
  <r>
    <n v="26"/>
    <x v="0"/>
    <s v="Travel_Rarely"/>
    <n v="950"/>
    <x v="0"/>
    <n v="4"/>
    <n v="4"/>
    <s v="Marketing"/>
    <n v="1"/>
    <n v="401"/>
    <x v="2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x v="1"/>
    <x v="3"/>
    <n v="7"/>
    <n v="7"/>
    <n v="4"/>
  </r>
  <r>
    <n v="37"/>
    <x v="1"/>
    <s v="Travel_Frequently"/>
    <n v="889"/>
    <x v="1"/>
    <n v="9"/>
    <n v="3"/>
    <s v="Medical"/>
    <n v="1"/>
    <n v="403"/>
    <x v="0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x v="2"/>
    <x v="9"/>
    <n v="2"/>
    <n v="1"/>
    <n v="2"/>
  </r>
  <r>
    <n v="42"/>
    <x v="1"/>
    <s v="Travel_Frequently"/>
    <n v="555"/>
    <x v="0"/>
    <n v="26"/>
    <n v="3"/>
    <s v="Marketing"/>
    <n v="1"/>
    <n v="404"/>
    <x v="1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x v="3"/>
    <x v="23"/>
    <n v="4"/>
    <n v="4"/>
    <n v="8"/>
  </r>
  <r>
    <n v="18"/>
    <x v="0"/>
    <s v="Travel_Rarely"/>
    <n v="230"/>
    <x v="1"/>
    <n v="3"/>
    <n v="3"/>
    <s v="Life Sciences"/>
    <n v="1"/>
    <n v="405"/>
    <x v="1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x v="1"/>
    <x v="2"/>
    <n v="0"/>
    <n v="0"/>
    <n v="0"/>
  </r>
  <r>
    <n v="35"/>
    <x v="1"/>
    <s v="Travel_Rarely"/>
    <n v="1232"/>
    <x v="0"/>
    <n v="16"/>
    <n v="3"/>
    <s v="Marketing"/>
    <n v="1"/>
    <n v="406"/>
    <x v="1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x v="2"/>
    <x v="19"/>
    <n v="9"/>
    <n v="6"/>
    <n v="9"/>
  </r>
  <r>
    <n v="36"/>
    <x v="1"/>
    <s v="Travel_Frequently"/>
    <n v="566"/>
    <x v="1"/>
    <n v="18"/>
    <n v="4"/>
    <s v="Life Sciences"/>
    <n v="1"/>
    <n v="407"/>
    <x v="1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x v="1"/>
    <x v="6"/>
    <n v="0"/>
    <n v="0"/>
    <n v="0"/>
  </r>
  <r>
    <n v="51"/>
    <x v="1"/>
    <s v="Travel_Rarely"/>
    <n v="1302"/>
    <x v="1"/>
    <n v="2"/>
    <n v="3"/>
    <s v="Medical"/>
    <n v="1"/>
    <n v="408"/>
    <x v="2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x v="1"/>
    <x v="9"/>
    <n v="1"/>
    <n v="1"/>
    <n v="2"/>
  </r>
  <r>
    <n v="41"/>
    <x v="1"/>
    <s v="Travel_Rarely"/>
    <n v="334"/>
    <x v="0"/>
    <n v="2"/>
    <n v="4"/>
    <s v="Life Sciences"/>
    <n v="1"/>
    <n v="410"/>
    <x v="2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x v="1"/>
    <x v="14"/>
    <n v="10"/>
    <n v="0"/>
    <n v="4"/>
  </r>
  <r>
    <n v="18"/>
    <x v="1"/>
    <s v="Travel_Rarely"/>
    <n v="812"/>
    <x v="0"/>
    <n v="10"/>
    <n v="3"/>
    <s v="Medical"/>
    <n v="1"/>
    <n v="411"/>
    <x v="2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x v="1"/>
    <x v="2"/>
    <n v="0"/>
    <n v="0"/>
    <n v="0"/>
  </r>
  <r>
    <n v="28"/>
    <x v="1"/>
    <s v="Travel_Rarely"/>
    <n v="1476"/>
    <x v="1"/>
    <n v="16"/>
    <n v="2"/>
    <s v="Medical"/>
    <n v="1"/>
    <n v="412"/>
    <x v="0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x v="1"/>
    <x v="3"/>
    <n v="3"/>
    <n v="0"/>
    <n v="7"/>
  </r>
  <r>
    <n v="31"/>
    <x v="1"/>
    <s v="Travel_Rarely"/>
    <n v="218"/>
    <x v="0"/>
    <n v="7"/>
    <n v="3"/>
    <s v="Technical Degree"/>
    <n v="1"/>
    <n v="416"/>
    <x v="0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x v="2"/>
    <x v="3"/>
    <n v="7"/>
    <n v="7"/>
    <n v="7"/>
  </r>
  <r>
    <n v="39"/>
    <x v="1"/>
    <s v="Travel_Rarely"/>
    <n v="1132"/>
    <x v="1"/>
    <n v="1"/>
    <n v="3"/>
    <s v="Medical"/>
    <n v="1"/>
    <n v="417"/>
    <x v="1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x v="2"/>
    <x v="29"/>
    <n v="10"/>
    <n v="3"/>
    <n v="7"/>
  </r>
  <r>
    <n v="36"/>
    <x v="1"/>
    <s v="Non-Travel"/>
    <n v="1105"/>
    <x v="1"/>
    <n v="24"/>
    <n v="4"/>
    <s v="Life Sciences"/>
    <n v="1"/>
    <n v="419"/>
    <x v="0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x v="1"/>
    <x v="7"/>
    <n v="8"/>
    <n v="0"/>
    <n v="8"/>
  </r>
  <r>
    <n v="32"/>
    <x v="1"/>
    <s v="Travel_Rarely"/>
    <n v="906"/>
    <x v="0"/>
    <n v="7"/>
    <n v="3"/>
    <s v="Life Sciences"/>
    <n v="1"/>
    <n v="420"/>
    <x v="2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x v="2"/>
    <x v="20"/>
    <n v="8"/>
    <n v="4"/>
    <n v="8"/>
  </r>
  <r>
    <n v="38"/>
    <x v="1"/>
    <s v="Travel_Rarely"/>
    <n v="849"/>
    <x v="1"/>
    <n v="25"/>
    <n v="2"/>
    <s v="Life Sciences"/>
    <n v="1"/>
    <n v="421"/>
    <x v="3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x v="1"/>
    <x v="1"/>
    <n v="8"/>
    <n v="0"/>
    <n v="1"/>
  </r>
  <r>
    <n v="58"/>
    <x v="1"/>
    <s v="Non-Travel"/>
    <n v="390"/>
    <x v="1"/>
    <n v="1"/>
    <n v="4"/>
    <s v="Life Sciences"/>
    <n v="1"/>
    <n v="422"/>
    <x v="2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x v="1"/>
    <x v="8"/>
    <n v="3"/>
    <n v="1"/>
    <n v="2"/>
  </r>
  <r>
    <n v="31"/>
    <x v="1"/>
    <s v="Travel_Rarely"/>
    <n v="691"/>
    <x v="1"/>
    <n v="5"/>
    <n v="4"/>
    <s v="Technical Degree"/>
    <n v="1"/>
    <n v="423"/>
    <x v="1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x v="1"/>
    <x v="8"/>
    <n v="2"/>
    <n v="0"/>
    <n v="3"/>
  </r>
  <r>
    <n v="31"/>
    <x v="1"/>
    <s v="Travel_Rarely"/>
    <n v="106"/>
    <x v="2"/>
    <n v="2"/>
    <n v="3"/>
    <s v="Human Resources"/>
    <n v="1"/>
    <n v="424"/>
    <x v="3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x v="1"/>
    <x v="4"/>
    <n v="2"/>
    <n v="1"/>
    <n v="0"/>
  </r>
  <r>
    <n v="45"/>
    <x v="1"/>
    <s v="Travel_Frequently"/>
    <n v="1249"/>
    <x v="1"/>
    <n v="7"/>
    <n v="3"/>
    <s v="Life Sciences"/>
    <n v="1"/>
    <n v="425"/>
    <x v="3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x v="1"/>
    <x v="25"/>
    <n v="9"/>
    <n v="9"/>
    <n v="11"/>
  </r>
  <r>
    <n v="31"/>
    <x v="1"/>
    <s v="Travel_Rarely"/>
    <n v="192"/>
    <x v="1"/>
    <n v="2"/>
    <n v="4"/>
    <s v="Life Sciences"/>
    <n v="1"/>
    <n v="426"/>
    <x v="1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x v="0"/>
    <x v="4"/>
    <n v="2"/>
    <n v="2"/>
    <n v="2"/>
  </r>
  <r>
    <n v="33"/>
    <x v="1"/>
    <s v="Travel_Frequently"/>
    <n v="553"/>
    <x v="1"/>
    <n v="5"/>
    <n v="4"/>
    <s v="Life Sciences"/>
    <n v="1"/>
    <n v="428"/>
    <x v="2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x v="1"/>
    <x v="1"/>
    <n v="6"/>
    <n v="8"/>
    <n v="8"/>
  </r>
  <r>
    <n v="39"/>
    <x v="1"/>
    <s v="Travel_Rarely"/>
    <n v="117"/>
    <x v="1"/>
    <n v="10"/>
    <n v="1"/>
    <s v="Medical"/>
    <n v="1"/>
    <n v="429"/>
    <x v="1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x v="1"/>
    <x v="17"/>
    <n v="9"/>
    <n v="11"/>
    <n v="10"/>
  </r>
  <r>
    <n v="43"/>
    <x v="1"/>
    <s v="Travel_Frequently"/>
    <n v="185"/>
    <x v="1"/>
    <n v="10"/>
    <n v="4"/>
    <s v="Life Sciences"/>
    <n v="1"/>
    <n v="430"/>
    <x v="1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x v="1"/>
    <x v="3"/>
    <n v="7"/>
    <n v="1"/>
    <n v="7"/>
  </r>
  <r>
    <n v="49"/>
    <x v="1"/>
    <s v="Travel_Rarely"/>
    <n v="1091"/>
    <x v="1"/>
    <n v="1"/>
    <n v="2"/>
    <s v="Technical Degree"/>
    <n v="1"/>
    <n v="431"/>
    <x v="1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x v="1"/>
    <x v="5"/>
    <n v="1"/>
    <n v="0"/>
    <n v="7"/>
  </r>
  <r>
    <n v="52"/>
    <x v="0"/>
    <s v="Travel_Rarely"/>
    <n v="723"/>
    <x v="1"/>
    <n v="8"/>
    <n v="4"/>
    <s v="Medical"/>
    <n v="1"/>
    <n v="433"/>
    <x v="1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x v="2"/>
    <x v="3"/>
    <n v="2"/>
    <n v="7"/>
    <n v="7"/>
  </r>
  <r>
    <n v="27"/>
    <x v="1"/>
    <s v="Travel_Rarely"/>
    <n v="1220"/>
    <x v="1"/>
    <n v="5"/>
    <n v="3"/>
    <s v="Life Sciences"/>
    <n v="1"/>
    <n v="434"/>
    <x v="1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x v="2"/>
    <x v="9"/>
    <n v="3"/>
    <n v="1"/>
    <n v="2"/>
  </r>
  <r>
    <n v="32"/>
    <x v="1"/>
    <s v="Travel_Rarely"/>
    <n v="588"/>
    <x v="0"/>
    <n v="8"/>
    <n v="2"/>
    <s v="Technical Degree"/>
    <n v="1"/>
    <n v="436"/>
    <x v="1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x v="1"/>
    <x v="20"/>
    <n v="12"/>
    <n v="11"/>
    <n v="9"/>
  </r>
  <r>
    <n v="27"/>
    <x v="1"/>
    <s v="Travel_Rarely"/>
    <n v="1377"/>
    <x v="0"/>
    <n v="2"/>
    <n v="3"/>
    <s v="Life Sciences"/>
    <n v="1"/>
    <n v="437"/>
    <x v="2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x v="1"/>
    <x v="8"/>
    <n v="4"/>
    <n v="0"/>
    <n v="4"/>
  </r>
  <r>
    <n v="31"/>
    <x v="1"/>
    <s v="Travel_Rarely"/>
    <n v="691"/>
    <x v="0"/>
    <n v="7"/>
    <n v="3"/>
    <s v="Marketing"/>
    <n v="1"/>
    <n v="438"/>
    <x v="2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x v="1"/>
    <x v="5"/>
    <n v="7"/>
    <n v="1"/>
    <n v="7"/>
  </r>
  <r>
    <n v="32"/>
    <x v="1"/>
    <s v="Travel_Rarely"/>
    <n v="1018"/>
    <x v="1"/>
    <n v="2"/>
    <n v="4"/>
    <s v="Medical"/>
    <n v="1"/>
    <n v="439"/>
    <x v="3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x v="2"/>
    <x v="5"/>
    <n v="7"/>
    <n v="0"/>
    <n v="7"/>
  </r>
  <r>
    <n v="28"/>
    <x v="0"/>
    <s v="Travel_Rarely"/>
    <n v="1157"/>
    <x v="1"/>
    <n v="2"/>
    <n v="4"/>
    <s v="Medical"/>
    <n v="1"/>
    <n v="440"/>
    <x v="3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x v="2"/>
    <x v="11"/>
    <n v="2"/>
    <n v="2"/>
    <n v="2"/>
  </r>
  <r>
    <n v="30"/>
    <x v="1"/>
    <s v="Travel_Rarely"/>
    <n v="1275"/>
    <x v="1"/>
    <n v="28"/>
    <n v="2"/>
    <s v="Medical"/>
    <n v="1"/>
    <n v="441"/>
    <x v="2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x v="1"/>
    <x v="1"/>
    <n v="8"/>
    <n v="1"/>
    <n v="9"/>
  </r>
  <r>
    <n v="31"/>
    <x v="1"/>
    <s v="Travel_Frequently"/>
    <n v="798"/>
    <x v="1"/>
    <n v="7"/>
    <n v="2"/>
    <s v="Life Sciences"/>
    <n v="1"/>
    <n v="442"/>
    <x v="1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x v="1"/>
    <x v="1"/>
    <n v="9"/>
    <n v="8"/>
    <n v="9"/>
  </r>
  <r>
    <n v="39"/>
    <x v="1"/>
    <s v="Travel_Frequently"/>
    <n v="672"/>
    <x v="1"/>
    <n v="7"/>
    <n v="2"/>
    <s v="Medical"/>
    <n v="1"/>
    <n v="444"/>
    <x v="1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x v="1"/>
    <x v="17"/>
    <n v="9"/>
    <n v="13"/>
    <n v="3"/>
  </r>
  <r>
    <n v="39"/>
    <x v="0"/>
    <s v="Travel_Rarely"/>
    <n v="1162"/>
    <x v="0"/>
    <n v="3"/>
    <n v="2"/>
    <s v="Medical"/>
    <n v="1"/>
    <n v="445"/>
    <x v="2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x v="2"/>
    <x v="6"/>
    <n v="0"/>
    <n v="0"/>
    <n v="0"/>
  </r>
  <r>
    <n v="33"/>
    <x v="1"/>
    <s v="Travel_Frequently"/>
    <n v="508"/>
    <x v="0"/>
    <n v="10"/>
    <n v="3"/>
    <s v="Marketing"/>
    <n v="1"/>
    <n v="446"/>
    <x v="0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x v="2"/>
    <x v="5"/>
    <n v="7"/>
    <n v="0"/>
    <n v="1"/>
  </r>
  <r>
    <n v="47"/>
    <x v="1"/>
    <s v="Travel_Rarely"/>
    <n v="1482"/>
    <x v="1"/>
    <n v="5"/>
    <n v="5"/>
    <s v="Life Sciences"/>
    <n v="1"/>
    <n v="447"/>
    <x v="2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x v="1"/>
    <x v="11"/>
    <n v="2"/>
    <n v="1"/>
    <n v="1"/>
  </r>
  <r>
    <n v="43"/>
    <x v="1"/>
    <s v="Travel_Frequently"/>
    <n v="559"/>
    <x v="1"/>
    <n v="10"/>
    <n v="4"/>
    <s v="Life Sciences"/>
    <n v="1"/>
    <n v="448"/>
    <x v="1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x v="3"/>
    <x v="7"/>
    <n v="7"/>
    <n v="0"/>
    <n v="0"/>
  </r>
  <r>
    <n v="27"/>
    <x v="1"/>
    <s v="Non-Travel"/>
    <n v="210"/>
    <x v="0"/>
    <n v="1"/>
    <n v="1"/>
    <s v="Marketing"/>
    <n v="1"/>
    <n v="449"/>
    <x v="1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x v="1"/>
    <x v="8"/>
    <n v="4"/>
    <n v="1"/>
    <n v="4"/>
  </r>
  <r>
    <n v="54"/>
    <x v="1"/>
    <s v="Travel_Frequently"/>
    <n v="928"/>
    <x v="1"/>
    <n v="20"/>
    <n v="4"/>
    <s v="Life Sciences"/>
    <n v="1"/>
    <n v="450"/>
    <x v="2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x v="2"/>
    <x v="9"/>
    <n v="3"/>
    <n v="0"/>
    <n v="3"/>
  </r>
  <r>
    <n v="43"/>
    <x v="1"/>
    <s v="Travel_Rarely"/>
    <n v="1001"/>
    <x v="1"/>
    <n v="7"/>
    <n v="3"/>
    <s v="Life Sciences"/>
    <n v="1"/>
    <n v="451"/>
    <x v="1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x v="2"/>
    <x v="6"/>
    <n v="0"/>
    <n v="0"/>
    <n v="0"/>
  </r>
  <r>
    <n v="45"/>
    <x v="1"/>
    <s v="Travel_Rarely"/>
    <n v="549"/>
    <x v="1"/>
    <n v="8"/>
    <n v="4"/>
    <s v="Other"/>
    <n v="1"/>
    <n v="452"/>
    <x v="2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x v="1"/>
    <x v="1"/>
    <n v="9"/>
    <n v="9"/>
    <n v="8"/>
  </r>
  <r>
    <n v="40"/>
    <x v="1"/>
    <s v="Travel_Rarely"/>
    <n v="1124"/>
    <x v="0"/>
    <n v="1"/>
    <n v="2"/>
    <s v="Medical"/>
    <n v="1"/>
    <n v="453"/>
    <x v="0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x v="2"/>
    <x v="9"/>
    <n v="3"/>
    <n v="0"/>
    <n v="2"/>
  </r>
  <r>
    <n v="29"/>
    <x v="0"/>
    <s v="Travel_Rarely"/>
    <n v="318"/>
    <x v="1"/>
    <n v="8"/>
    <n v="4"/>
    <s v="Other"/>
    <n v="1"/>
    <n v="454"/>
    <x v="0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x v="2"/>
    <x v="5"/>
    <n v="7"/>
    <n v="0"/>
    <n v="7"/>
  </r>
  <r>
    <n v="29"/>
    <x v="1"/>
    <s v="Travel_Rarely"/>
    <n v="738"/>
    <x v="1"/>
    <n v="9"/>
    <n v="5"/>
    <s v="Other"/>
    <n v="1"/>
    <n v="455"/>
    <x v="0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x v="1"/>
    <x v="11"/>
    <n v="2"/>
    <n v="2"/>
    <n v="2"/>
  </r>
  <r>
    <n v="30"/>
    <x v="1"/>
    <s v="Travel_Rarely"/>
    <n v="570"/>
    <x v="0"/>
    <n v="5"/>
    <n v="3"/>
    <s v="Marketing"/>
    <n v="1"/>
    <n v="456"/>
    <x v="2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x v="1"/>
    <x v="1"/>
    <n v="9"/>
    <n v="1"/>
    <n v="2"/>
  </r>
  <r>
    <n v="27"/>
    <x v="1"/>
    <s v="Travel_Rarely"/>
    <n v="1130"/>
    <x v="0"/>
    <n v="8"/>
    <n v="4"/>
    <s v="Marketing"/>
    <n v="1"/>
    <n v="458"/>
    <x v="0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x v="1"/>
    <x v="3"/>
    <n v="7"/>
    <n v="0"/>
    <n v="7"/>
  </r>
  <r>
    <n v="37"/>
    <x v="1"/>
    <s v="Travel_Rarely"/>
    <n v="1192"/>
    <x v="1"/>
    <n v="5"/>
    <n v="2"/>
    <s v="Medical"/>
    <n v="1"/>
    <n v="460"/>
    <x v="2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x v="2"/>
    <x v="0"/>
    <n v="2"/>
    <n v="0"/>
    <n v="4"/>
  </r>
  <r>
    <n v="38"/>
    <x v="1"/>
    <s v="Travel_Rarely"/>
    <n v="343"/>
    <x v="1"/>
    <n v="15"/>
    <n v="2"/>
    <s v="Life Sciences"/>
    <n v="1"/>
    <n v="461"/>
    <x v="1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x v="1"/>
    <x v="19"/>
    <n v="10"/>
    <n v="2"/>
    <n v="9"/>
  </r>
  <r>
    <n v="31"/>
    <x v="1"/>
    <s v="Travel_Rarely"/>
    <n v="1232"/>
    <x v="1"/>
    <n v="7"/>
    <n v="4"/>
    <s v="Medical"/>
    <n v="1"/>
    <n v="462"/>
    <x v="1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x v="2"/>
    <x v="19"/>
    <n v="9"/>
    <n v="4"/>
    <n v="10"/>
  </r>
  <r>
    <n v="29"/>
    <x v="1"/>
    <s v="Travel_Rarely"/>
    <n v="144"/>
    <x v="0"/>
    <n v="10"/>
    <n v="1"/>
    <s v="Marketing"/>
    <n v="1"/>
    <n v="463"/>
    <x v="2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x v="1"/>
    <x v="5"/>
    <n v="7"/>
    <n v="1"/>
    <n v="7"/>
  </r>
  <r>
    <n v="35"/>
    <x v="1"/>
    <s v="Travel_Rarely"/>
    <n v="1296"/>
    <x v="1"/>
    <n v="5"/>
    <n v="4"/>
    <s v="Technical Degree"/>
    <n v="1"/>
    <n v="464"/>
    <x v="1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x v="1"/>
    <x v="22"/>
    <n v="6"/>
    <n v="0"/>
    <n v="13"/>
  </r>
  <r>
    <n v="23"/>
    <x v="1"/>
    <s v="Travel_Rarely"/>
    <n v="1309"/>
    <x v="1"/>
    <n v="26"/>
    <n v="1"/>
    <s v="Life Sciences"/>
    <n v="1"/>
    <n v="465"/>
    <x v="1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x v="2"/>
    <x v="9"/>
    <n v="2"/>
    <n v="0"/>
    <n v="2"/>
  </r>
  <r>
    <n v="41"/>
    <x v="1"/>
    <s v="Travel_Rarely"/>
    <n v="483"/>
    <x v="1"/>
    <n v="6"/>
    <n v="3"/>
    <s v="Medical"/>
    <n v="1"/>
    <n v="466"/>
    <x v="2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x v="1"/>
    <x v="8"/>
    <n v="4"/>
    <n v="1"/>
    <n v="2"/>
  </r>
  <r>
    <n v="47"/>
    <x v="1"/>
    <s v="Travel_Frequently"/>
    <n v="1309"/>
    <x v="0"/>
    <n v="4"/>
    <n v="1"/>
    <s v="Medical"/>
    <n v="1"/>
    <n v="467"/>
    <x v="0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x v="1"/>
    <x v="2"/>
    <n v="0"/>
    <n v="0"/>
    <n v="0"/>
  </r>
  <r>
    <n v="42"/>
    <x v="1"/>
    <s v="Travel_Rarely"/>
    <n v="810"/>
    <x v="1"/>
    <n v="23"/>
    <n v="5"/>
    <s v="Life Sciences"/>
    <n v="1"/>
    <n v="468"/>
    <x v="3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x v="1"/>
    <x v="6"/>
    <n v="0"/>
    <n v="0"/>
    <n v="0"/>
  </r>
  <r>
    <n v="29"/>
    <x v="1"/>
    <s v="Non-Travel"/>
    <n v="746"/>
    <x v="0"/>
    <n v="2"/>
    <n v="3"/>
    <s v="Life Sciences"/>
    <n v="1"/>
    <n v="469"/>
    <x v="2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x v="2"/>
    <x v="9"/>
    <n v="3"/>
    <n v="0"/>
    <n v="2"/>
  </r>
  <r>
    <n v="42"/>
    <x v="1"/>
    <s v="Travel_Rarely"/>
    <n v="544"/>
    <x v="2"/>
    <n v="2"/>
    <n v="1"/>
    <s v="Technical Degree"/>
    <n v="1"/>
    <n v="470"/>
    <x v="1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x v="1"/>
    <x v="11"/>
    <n v="2"/>
    <n v="1"/>
    <n v="0"/>
  </r>
  <r>
    <n v="32"/>
    <x v="1"/>
    <s v="Travel_Rarely"/>
    <n v="1062"/>
    <x v="1"/>
    <n v="2"/>
    <n v="3"/>
    <s v="Medical"/>
    <n v="1"/>
    <n v="471"/>
    <x v="1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x v="1"/>
    <x v="3"/>
    <n v="0"/>
    <n v="0"/>
    <n v="7"/>
  </r>
  <r>
    <n v="48"/>
    <x v="1"/>
    <s v="Travel_Rarely"/>
    <n v="530"/>
    <x v="0"/>
    <n v="29"/>
    <n v="1"/>
    <s v="Medical"/>
    <n v="1"/>
    <n v="473"/>
    <x v="3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x v="0"/>
    <x v="2"/>
    <n v="0"/>
    <n v="0"/>
    <n v="0"/>
  </r>
  <r>
    <n v="37"/>
    <x v="1"/>
    <s v="Travel_Rarely"/>
    <n v="1319"/>
    <x v="1"/>
    <n v="6"/>
    <n v="3"/>
    <s v="Medical"/>
    <n v="1"/>
    <n v="474"/>
    <x v="1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x v="1"/>
    <x v="5"/>
    <n v="7"/>
    <n v="6"/>
    <n v="7"/>
  </r>
  <r>
    <n v="30"/>
    <x v="1"/>
    <s v="Non-Travel"/>
    <n v="641"/>
    <x v="0"/>
    <n v="25"/>
    <n v="2"/>
    <s v="Technical Degree"/>
    <n v="1"/>
    <n v="475"/>
    <x v="2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x v="3"/>
    <x v="4"/>
    <n v="2"/>
    <n v="2"/>
    <n v="2"/>
  </r>
  <r>
    <n v="26"/>
    <x v="1"/>
    <s v="Travel_Rarely"/>
    <n v="933"/>
    <x v="0"/>
    <n v="1"/>
    <n v="3"/>
    <s v="Life Sciences"/>
    <n v="1"/>
    <n v="476"/>
    <x v="1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x v="1"/>
    <x v="3"/>
    <n v="7"/>
    <n v="7"/>
    <n v="7"/>
  </r>
  <r>
    <n v="42"/>
    <x v="1"/>
    <s v="Travel_Rarely"/>
    <n v="1332"/>
    <x v="1"/>
    <n v="2"/>
    <n v="4"/>
    <s v="Other"/>
    <n v="1"/>
    <n v="477"/>
    <x v="3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x v="1"/>
    <x v="6"/>
    <n v="0"/>
    <n v="0"/>
    <n v="0"/>
  </r>
  <r>
    <n v="21"/>
    <x v="0"/>
    <s v="Travel_Frequently"/>
    <n v="756"/>
    <x v="0"/>
    <n v="1"/>
    <n v="1"/>
    <s v="Technical Degree"/>
    <n v="1"/>
    <n v="478"/>
    <x v="3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x v="1"/>
    <x v="11"/>
    <n v="2"/>
    <n v="1"/>
    <n v="2"/>
  </r>
  <r>
    <n v="36"/>
    <x v="1"/>
    <s v="Non-Travel"/>
    <n v="845"/>
    <x v="0"/>
    <n v="1"/>
    <n v="5"/>
    <s v="Medical"/>
    <n v="1"/>
    <n v="479"/>
    <x v="2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x v="1"/>
    <x v="6"/>
    <n v="0"/>
    <n v="0"/>
    <n v="0"/>
  </r>
  <r>
    <n v="36"/>
    <x v="1"/>
    <s v="Travel_Frequently"/>
    <n v="541"/>
    <x v="0"/>
    <n v="3"/>
    <n v="4"/>
    <s v="Medical"/>
    <n v="1"/>
    <n v="481"/>
    <x v="3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x v="1"/>
    <x v="20"/>
    <n v="9"/>
    <n v="1"/>
    <n v="12"/>
  </r>
  <r>
    <n v="57"/>
    <x v="1"/>
    <s v="Travel_Rarely"/>
    <n v="593"/>
    <x v="1"/>
    <n v="1"/>
    <n v="4"/>
    <s v="Medical"/>
    <n v="1"/>
    <n v="482"/>
    <x v="2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x v="1"/>
    <x v="11"/>
    <n v="2"/>
    <n v="1"/>
    <n v="2"/>
  </r>
  <r>
    <n v="40"/>
    <x v="1"/>
    <s v="Travel_Rarely"/>
    <n v="1171"/>
    <x v="1"/>
    <n v="10"/>
    <n v="4"/>
    <s v="Life Sciences"/>
    <n v="1"/>
    <n v="483"/>
    <x v="2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x v="1"/>
    <x v="5"/>
    <n v="7"/>
    <n v="1"/>
    <n v="7"/>
  </r>
  <r>
    <n v="21"/>
    <x v="1"/>
    <s v="Non-Travel"/>
    <n v="895"/>
    <x v="0"/>
    <n v="9"/>
    <n v="2"/>
    <s v="Medical"/>
    <n v="1"/>
    <n v="484"/>
    <x v="3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x v="2"/>
    <x v="11"/>
    <n v="2"/>
    <n v="2"/>
    <n v="2"/>
  </r>
  <r>
    <n v="33"/>
    <x v="0"/>
    <s v="Travel_Rarely"/>
    <n v="350"/>
    <x v="0"/>
    <n v="5"/>
    <n v="3"/>
    <s v="Marketing"/>
    <n v="1"/>
    <n v="485"/>
    <x v="2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x v="1"/>
    <x v="6"/>
    <n v="0"/>
    <n v="0"/>
    <n v="0"/>
  </r>
  <r>
    <n v="37"/>
    <x v="1"/>
    <s v="Travel_Rarely"/>
    <n v="921"/>
    <x v="1"/>
    <n v="10"/>
    <n v="3"/>
    <s v="Medical"/>
    <n v="1"/>
    <n v="486"/>
    <x v="1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x v="1"/>
    <x v="8"/>
    <n v="4"/>
    <n v="0"/>
    <n v="3"/>
  </r>
  <r>
    <n v="46"/>
    <x v="1"/>
    <s v="Non-Travel"/>
    <n v="1144"/>
    <x v="1"/>
    <n v="7"/>
    <n v="4"/>
    <s v="Medical"/>
    <n v="1"/>
    <n v="487"/>
    <x v="1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x v="3"/>
    <x v="6"/>
    <n v="0"/>
    <n v="0"/>
    <n v="0"/>
  </r>
  <r>
    <n v="41"/>
    <x v="0"/>
    <s v="Travel_Frequently"/>
    <n v="143"/>
    <x v="0"/>
    <n v="4"/>
    <n v="3"/>
    <s v="Marketing"/>
    <n v="1"/>
    <n v="488"/>
    <x v="3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x v="1"/>
    <x v="3"/>
    <n v="7"/>
    <n v="7"/>
    <n v="7"/>
  </r>
  <r>
    <n v="50"/>
    <x v="1"/>
    <s v="Travel_Rarely"/>
    <n v="1046"/>
    <x v="1"/>
    <n v="10"/>
    <n v="3"/>
    <s v="Technical Degree"/>
    <n v="1"/>
    <n v="491"/>
    <x v="2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x v="1"/>
    <x v="9"/>
    <n v="3"/>
    <n v="1"/>
    <n v="3"/>
  </r>
  <r>
    <n v="40"/>
    <x v="0"/>
    <s v="Travel_Rarely"/>
    <n v="575"/>
    <x v="0"/>
    <n v="22"/>
    <n v="2"/>
    <s v="Marketing"/>
    <n v="1"/>
    <n v="492"/>
    <x v="1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x v="1"/>
    <x v="0"/>
    <n v="4"/>
    <n v="1"/>
    <n v="0"/>
  </r>
  <r>
    <n v="31"/>
    <x v="1"/>
    <s v="Travel_Rarely"/>
    <n v="408"/>
    <x v="1"/>
    <n v="9"/>
    <n v="4"/>
    <s v="Life Sciences"/>
    <n v="1"/>
    <n v="493"/>
    <x v="1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x v="1"/>
    <x v="4"/>
    <n v="2"/>
    <n v="2"/>
    <n v="2"/>
  </r>
  <r>
    <n v="21"/>
    <x v="0"/>
    <s v="Travel_Rarely"/>
    <n v="156"/>
    <x v="0"/>
    <n v="12"/>
    <n v="3"/>
    <s v="Life Sciences"/>
    <n v="1"/>
    <n v="494"/>
    <x v="1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x v="1"/>
    <x v="6"/>
    <n v="0"/>
    <n v="0"/>
    <n v="0"/>
  </r>
  <r>
    <n v="29"/>
    <x v="1"/>
    <s v="Travel_Rarely"/>
    <n v="1283"/>
    <x v="1"/>
    <n v="23"/>
    <n v="3"/>
    <s v="Life Sciences"/>
    <n v="1"/>
    <n v="495"/>
    <x v="2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x v="1"/>
    <x v="11"/>
    <n v="2"/>
    <n v="1"/>
    <n v="2"/>
  </r>
  <r>
    <n v="35"/>
    <x v="1"/>
    <s v="Travel_Rarely"/>
    <n v="755"/>
    <x v="1"/>
    <n v="9"/>
    <n v="4"/>
    <s v="Life Sciences"/>
    <n v="1"/>
    <n v="496"/>
    <x v="1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x v="1"/>
    <x v="6"/>
    <n v="1"/>
    <n v="0"/>
    <n v="0"/>
  </r>
  <r>
    <n v="27"/>
    <x v="1"/>
    <s v="Travel_Rarely"/>
    <n v="1469"/>
    <x v="1"/>
    <n v="1"/>
    <n v="2"/>
    <s v="Medical"/>
    <n v="1"/>
    <n v="497"/>
    <x v="2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x v="1"/>
    <x v="8"/>
    <n v="2"/>
    <n v="0"/>
    <n v="4"/>
  </r>
  <r>
    <n v="28"/>
    <x v="1"/>
    <s v="Travel_Rarely"/>
    <n v="304"/>
    <x v="0"/>
    <n v="9"/>
    <n v="4"/>
    <s v="Life Sciences"/>
    <n v="1"/>
    <n v="498"/>
    <x v="0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x v="1"/>
    <x v="5"/>
    <n v="5"/>
    <n v="0"/>
    <n v="7"/>
  </r>
  <r>
    <n v="49"/>
    <x v="1"/>
    <s v="Travel_Rarely"/>
    <n v="1261"/>
    <x v="1"/>
    <n v="7"/>
    <n v="3"/>
    <s v="Other"/>
    <n v="1"/>
    <n v="499"/>
    <x v="0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x v="1"/>
    <x v="8"/>
    <n v="2"/>
    <n v="0"/>
    <n v="0"/>
  </r>
  <r>
    <n v="51"/>
    <x v="1"/>
    <s v="Travel_Rarely"/>
    <n v="1178"/>
    <x v="0"/>
    <n v="14"/>
    <n v="2"/>
    <s v="Life Sciences"/>
    <n v="1"/>
    <n v="500"/>
    <x v="1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x v="2"/>
    <x v="5"/>
    <n v="7"/>
    <n v="0"/>
    <n v="7"/>
  </r>
  <r>
    <n v="36"/>
    <x v="1"/>
    <s v="Travel_Rarely"/>
    <n v="329"/>
    <x v="1"/>
    <n v="2"/>
    <n v="3"/>
    <s v="Life Sciences"/>
    <n v="1"/>
    <n v="501"/>
    <x v="2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x v="1"/>
    <x v="4"/>
    <n v="2"/>
    <n v="2"/>
    <n v="2"/>
  </r>
  <r>
    <n v="34"/>
    <x v="0"/>
    <s v="Non-Travel"/>
    <n v="1362"/>
    <x v="0"/>
    <n v="19"/>
    <n v="3"/>
    <s v="Marketing"/>
    <n v="1"/>
    <n v="502"/>
    <x v="3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x v="2"/>
    <x v="8"/>
    <n v="2"/>
    <n v="0"/>
    <n v="4"/>
  </r>
  <r>
    <n v="55"/>
    <x v="1"/>
    <s v="Travel_Rarely"/>
    <n v="1311"/>
    <x v="1"/>
    <n v="2"/>
    <n v="3"/>
    <s v="Life Sciences"/>
    <n v="1"/>
    <n v="505"/>
    <x v="1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x v="1"/>
    <x v="8"/>
    <n v="4"/>
    <n v="1"/>
    <n v="2"/>
  </r>
  <r>
    <n v="24"/>
    <x v="1"/>
    <s v="Travel_Rarely"/>
    <n v="1371"/>
    <x v="0"/>
    <n v="10"/>
    <n v="4"/>
    <s v="Marketing"/>
    <n v="1"/>
    <n v="507"/>
    <x v="2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x v="3"/>
    <x v="8"/>
    <n v="2"/>
    <n v="0"/>
    <n v="3"/>
  </r>
  <r>
    <n v="30"/>
    <x v="1"/>
    <s v="Travel_Rarely"/>
    <n v="202"/>
    <x v="0"/>
    <n v="2"/>
    <n v="1"/>
    <s v="Technical Degree"/>
    <n v="1"/>
    <n v="508"/>
    <x v="1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x v="1"/>
    <x v="6"/>
    <n v="0"/>
    <n v="0"/>
    <n v="0"/>
  </r>
  <r>
    <n v="26"/>
    <x v="0"/>
    <s v="Travel_Frequently"/>
    <n v="575"/>
    <x v="1"/>
    <n v="3"/>
    <n v="1"/>
    <s v="Technical Degree"/>
    <n v="1"/>
    <n v="510"/>
    <x v="1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x v="1"/>
    <x v="0"/>
    <n v="4"/>
    <n v="0"/>
    <n v="4"/>
  </r>
  <r>
    <n v="22"/>
    <x v="1"/>
    <s v="Travel_Rarely"/>
    <n v="253"/>
    <x v="1"/>
    <n v="11"/>
    <n v="3"/>
    <s v="Medical"/>
    <n v="1"/>
    <n v="511"/>
    <x v="3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x v="1"/>
    <x v="4"/>
    <n v="1"/>
    <n v="1"/>
    <n v="2"/>
  </r>
  <r>
    <n v="36"/>
    <x v="1"/>
    <s v="Travel_Rarely"/>
    <n v="164"/>
    <x v="0"/>
    <n v="2"/>
    <n v="2"/>
    <s v="Medical"/>
    <n v="1"/>
    <n v="513"/>
    <x v="0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x v="1"/>
    <x v="1"/>
    <n v="9"/>
    <n v="9"/>
    <n v="0"/>
  </r>
  <r>
    <n v="30"/>
    <x v="0"/>
    <s v="Travel_Frequently"/>
    <n v="464"/>
    <x v="1"/>
    <n v="4"/>
    <n v="3"/>
    <s v="Technical Degree"/>
    <n v="1"/>
    <n v="514"/>
    <x v="1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x v="1"/>
    <x v="6"/>
    <n v="0"/>
    <n v="0"/>
    <n v="0"/>
  </r>
  <r>
    <n v="37"/>
    <x v="1"/>
    <s v="Travel_Rarely"/>
    <n v="1107"/>
    <x v="1"/>
    <n v="14"/>
    <n v="3"/>
    <s v="Life Sciences"/>
    <n v="1"/>
    <n v="515"/>
    <x v="2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x v="2"/>
    <x v="29"/>
    <n v="7"/>
    <n v="12"/>
    <n v="17"/>
  </r>
  <r>
    <n v="40"/>
    <x v="1"/>
    <s v="Travel_Rarely"/>
    <n v="759"/>
    <x v="0"/>
    <n v="2"/>
    <n v="2"/>
    <s v="Marketing"/>
    <n v="1"/>
    <n v="516"/>
    <x v="2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x v="1"/>
    <x v="8"/>
    <n v="4"/>
    <n v="1"/>
    <n v="3"/>
  </r>
  <r>
    <n v="42"/>
    <x v="1"/>
    <s v="Travel_Rarely"/>
    <n v="201"/>
    <x v="1"/>
    <n v="1"/>
    <n v="4"/>
    <s v="Life Sciences"/>
    <n v="1"/>
    <n v="517"/>
    <x v="0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x v="1"/>
    <x v="8"/>
    <n v="2"/>
    <n v="1"/>
    <n v="2"/>
  </r>
  <r>
    <n v="37"/>
    <x v="1"/>
    <s v="Travel_Rarely"/>
    <n v="1305"/>
    <x v="1"/>
    <n v="10"/>
    <n v="4"/>
    <s v="Life Sciences"/>
    <n v="1"/>
    <n v="518"/>
    <x v="1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x v="2"/>
    <x v="6"/>
    <n v="0"/>
    <n v="0"/>
    <n v="1"/>
  </r>
  <r>
    <n v="43"/>
    <x v="1"/>
    <s v="Travel_Rarely"/>
    <n v="982"/>
    <x v="1"/>
    <n v="12"/>
    <n v="3"/>
    <s v="Life Sciences"/>
    <n v="1"/>
    <n v="520"/>
    <x v="3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x v="1"/>
    <x v="10"/>
    <n v="10"/>
    <n v="3"/>
    <n v="9"/>
  </r>
  <r>
    <n v="40"/>
    <x v="1"/>
    <s v="Travel_Rarely"/>
    <n v="555"/>
    <x v="1"/>
    <n v="2"/>
    <n v="3"/>
    <s v="Medical"/>
    <n v="1"/>
    <n v="521"/>
    <x v="0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x v="1"/>
    <x v="6"/>
    <n v="0"/>
    <n v="0"/>
    <n v="0"/>
  </r>
  <r>
    <n v="54"/>
    <x v="1"/>
    <s v="Travel_Rarely"/>
    <n v="821"/>
    <x v="1"/>
    <n v="5"/>
    <n v="2"/>
    <s v="Medical"/>
    <n v="1"/>
    <n v="522"/>
    <x v="3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x v="2"/>
    <x v="9"/>
    <n v="2"/>
    <n v="1"/>
    <n v="2"/>
  </r>
  <r>
    <n v="34"/>
    <x v="1"/>
    <s v="Non-Travel"/>
    <n v="1381"/>
    <x v="0"/>
    <n v="4"/>
    <n v="4"/>
    <s v="Marketing"/>
    <n v="1"/>
    <n v="523"/>
    <x v="1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x v="1"/>
    <x v="11"/>
    <n v="2"/>
    <n v="1"/>
    <n v="2"/>
  </r>
  <r>
    <n v="31"/>
    <x v="1"/>
    <s v="Travel_Rarely"/>
    <n v="480"/>
    <x v="1"/>
    <n v="7"/>
    <n v="2"/>
    <s v="Medical"/>
    <n v="1"/>
    <n v="524"/>
    <x v="0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x v="0"/>
    <x v="20"/>
    <n v="10"/>
    <n v="3"/>
    <n v="12"/>
  </r>
  <r>
    <n v="43"/>
    <x v="1"/>
    <s v="Travel_Frequently"/>
    <n v="313"/>
    <x v="1"/>
    <n v="21"/>
    <n v="3"/>
    <s v="Medical"/>
    <n v="1"/>
    <n v="525"/>
    <x v="2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x v="1"/>
    <x v="11"/>
    <n v="2"/>
    <n v="1"/>
    <n v="2"/>
  </r>
  <r>
    <n v="43"/>
    <x v="1"/>
    <s v="Travel_Rarely"/>
    <n v="1473"/>
    <x v="1"/>
    <n v="8"/>
    <n v="4"/>
    <s v="Other"/>
    <n v="1"/>
    <n v="526"/>
    <x v="1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x v="1"/>
    <x v="8"/>
    <n v="2"/>
    <n v="0"/>
    <n v="2"/>
  </r>
  <r>
    <n v="25"/>
    <x v="1"/>
    <s v="Travel_Rarely"/>
    <n v="891"/>
    <x v="0"/>
    <n v="4"/>
    <n v="2"/>
    <s v="Life Sciences"/>
    <n v="1"/>
    <n v="527"/>
    <x v="0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x v="1"/>
    <x v="8"/>
    <n v="4"/>
    <n v="1"/>
    <n v="3"/>
  </r>
  <r>
    <n v="37"/>
    <x v="1"/>
    <s v="Non-Travel"/>
    <n v="1063"/>
    <x v="1"/>
    <n v="25"/>
    <n v="5"/>
    <s v="Medical"/>
    <n v="1"/>
    <n v="529"/>
    <x v="0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x v="1"/>
    <x v="20"/>
    <n v="11"/>
    <n v="10"/>
    <n v="7"/>
  </r>
  <r>
    <n v="31"/>
    <x v="1"/>
    <s v="Travel_Rarely"/>
    <n v="329"/>
    <x v="1"/>
    <n v="1"/>
    <n v="2"/>
    <s v="Life Sciences"/>
    <n v="1"/>
    <n v="530"/>
    <x v="2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x v="1"/>
    <x v="9"/>
    <n v="2"/>
    <n v="3"/>
    <n v="2"/>
  </r>
  <r>
    <n v="39"/>
    <x v="1"/>
    <s v="Travel_Frequently"/>
    <n v="1218"/>
    <x v="1"/>
    <n v="1"/>
    <n v="1"/>
    <s v="Life Sciences"/>
    <n v="1"/>
    <n v="531"/>
    <x v="0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x v="1"/>
    <x v="17"/>
    <n v="8"/>
    <n v="1"/>
    <n v="6"/>
  </r>
  <r>
    <n v="56"/>
    <x v="1"/>
    <s v="Travel_Frequently"/>
    <n v="906"/>
    <x v="0"/>
    <n v="6"/>
    <n v="3"/>
    <s v="Life Sciences"/>
    <n v="1"/>
    <n v="532"/>
    <x v="1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x v="2"/>
    <x v="5"/>
    <n v="7"/>
    <n v="7"/>
    <n v="7"/>
  </r>
  <r>
    <n v="30"/>
    <x v="1"/>
    <s v="Travel_Rarely"/>
    <n v="1082"/>
    <x v="0"/>
    <n v="12"/>
    <n v="3"/>
    <s v="Technical Degree"/>
    <n v="1"/>
    <n v="533"/>
    <x v="0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x v="1"/>
    <x v="8"/>
    <n v="4"/>
    <n v="4"/>
    <n v="4"/>
  </r>
  <r>
    <n v="41"/>
    <x v="1"/>
    <s v="Travel_Rarely"/>
    <n v="645"/>
    <x v="0"/>
    <n v="1"/>
    <n v="3"/>
    <s v="Marketing"/>
    <n v="1"/>
    <n v="534"/>
    <x v="0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x v="1"/>
    <x v="1"/>
    <n v="7"/>
    <n v="0"/>
    <n v="7"/>
  </r>
  <r>
    <n v="28"/>
    <x v="1"/>
    <s v="Travel_Rarely"/>
    <n v="1300"/>
    <x v="1"/>
    <n v="17"/>
    <n v="2"/>
    <s v="Medical"/>
    <n v="1"/>
    <n v="536"/>
    <x v="1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x v="1"/>
    <x v="1"/>
    <n v="0"/>
    <n v="1"/>
    <n v="8"/>
  </r>
  <r>
    <n v="25"/>
    <x v="0"/>
    <s v="Travel_Rarely"/>
    <n v="688"/>
    <x v="1"/>
    <n v="3"/>
    <n v="3"/>
    <s v="Medical"/>
    <n v="1"/>
    <n v="538"/>
    <x v="3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x v="1"/>
    <x v="4"/>
    <n v="2"/>
    <n v="0"/>
    <n v="2"/>
  </r>
  <r>
    <n v="52"/>
    <x v="1"/>
    <s v="Travel_Rarely"/>
    <n v="319"/>
    <x v="1"/>
    <n v="3"/>
    <n v="3"/>
    <s v="Medical"/>
    <n v="1"/>
    <n v="543"/>
    <x v="2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x v="1"/>
    <x v="8"/>
    <n v="4"/>
    <n v="0"/>
    <n v="4"/>
  </r>
  <r>
    <n v="45"/>
    <x v="1"/>
    <s v="Travel_Rarely"/>
    <n v="192"/>
    <x v="1"/>
    <n v="10"/>
    <n v="2"/>
    <s v="Life Sciences"/>
    <n v="1"/>
    <n v="544"/>
    <x v="3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x v="2"/>
    <x v="4"/>
    <n v="2"/>
    <n v="0"/>
    <n v="2"/>
  </r>
  <r>
    <n v="52"/>
    <x v="1"/>
    <s v="Travel_Rarely"/>
    <n v="1490"/>
    <x v="1"/>
    <n v="4"/>
    <n v="2"/>
    <s v="Life Sciences"/>
    <n v="1"/>
    <n v="546"/>
    <x v="2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x v="0"/>
    <x v="8"/>
    <n v="2"/>
    <n v="1"/>
    <n v="4"/>
  </r>
  <r>
    <n v="42"/>
    <x v="1"/>
    <s v="Travel_Frequently"/>
    <n v="532"/>
    <x v="1"/>
    <n v="29"/>
    <n v="2"/>
    <s v="Life Sciences"/>
    <n v="1"/>
    <n v="547"/>
    <x v="3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x v="1"/>
    <x v="8"/>
    <n v="4"/>
    <n v="0"/>
    <n v="2"/>
  </r>
  <r>
    <n v="30"/>
    <x v="1"/>
    <s v="Travel_Rarely"/>
    <n v="317"/>
    <x v="1"/>
    <n v="2"/>
    <n v="3"/>
    <s v="Life Sciences"/>
    <n v="1"/>
    <n v="548"/>
    <x v="1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x v="1"/>
    <x v="8"/>
    <n v="4"/>
    <n v="0"/>
    <n v="2"/>
  </r>
  <r>
    <n v="60"/>
    <x v="1"/>
    <s v="Travel_Rarely"/>
    <n v="422"/>
    <x v="1"/>
    <n v="7"/>
    <n v="3"/>
    <s v="Life Sciences"/>
    <n v="1"/>
    <n v="549"/>
    <x v="3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x v="0"/>
    <x v="30"/>
    <n v="8"/>
    <n v="11"/>
    <n v="10"/>
  </r>
  <r>
    <n v="46"/>
    <x v="1"/>
    <s v="Travel_Rarely"/>
    <n v="1485"/>
    <x v="1"/>
    <n v="18"/>
    <n v="3"/>
    <s v="Medical"/>
    <n v="1"/>
    <n v="550"/>
    <x v="1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x v="2"/>
    <x v="1"/>
    <n v="7"/>
    <n v="0"/>
    <n v="8"/>
  </r>
  <r>
    <n v="42"/>
    <x v="1"/>
    <s v="Travel_Frequently"/>
    <n v="1368"/>
    <x v="1"/>
    <n v="28"/>
    <n v="4"/>
    <s v="Technical Degree"/>
    <n v="1"/>
    <n v="551"/>
    <x v="2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x v="3"/>
    <x v="0"/>
    <n v="5"/>
    <n v="0"/>
    <n v="4"/>
  </r>
  <r>
    <n v="24"/>
    <x v="0"/>
    <s v="Travel_Rarely"/>
    <n v="1448"/>
    <x v="0"/>
    <n v="1"/>
    <n v="1"/>
    <s v="Technical Degree"/>
    <n v="1"/>
    <n v="554"/>
    <x v="3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x v="1"/>
    <x v="8"/>
    <n v="3"/>
    <n v="1"/>
    <n v="4"/>
  </r>
  <r>
    <n v="34"/>
    <x v="0"/>
    <s v="Travel_Frequently"/>
    <n v="296"/>
    <x v="0"/>
    <n v="6"/>
    <n v="2"/>
    <s v="Marketing"/>
    <n v="1"/>
    <n v="555"/>
    <x v="2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x v="2"/>
    <x v="4"/>
    <n v="2"/>
    <n v="1"/>
    <n v="0"/>
  </r>
  <r>
    <n v="38"/>
    <x v="1"/>
    <s v="Travel_Frequently"/>
    <n v="1490"/>
    <x v="1"/>
    <n v="2"/>
    <n v="2"/>
    <s v="Life Sciences"/>
    <n v="1"/>
    <n v="556"/>
    <x v="2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x v="1"/>
    <x v="6"/>
    <n v="0"/>
    <n v="0"/>
    <n v="0"/>
  </r>
  <r>
    <n v="40"/>
    <x v="1"/>
    <s v="Travel_Rarely"/>
    <n v="1398"/>
    <x v="0"/>
    <n v="2"/>
    <n v="4"/>
    <s v="Life Sciences"/>
    <n v="1"/>
    <n v="558"/>
    <x v="1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x v="1"/>
    <x v="23"/>
    <n v="15"/>
    <n v="1"/>
    <n v="12"/>
  </r>
  <r>
    <n v="26"/>
    <x v="1"/>
    <s v="Travel_Rarely"/>
    <n v="1349"/>
    <x v="1"/>
    <n v="23"/>
    <n v="3"/>
    <s v="Life Sciences"/>
    <n v="1"/>
    <n v="560"/>
    <x v="3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x v="0"/>
    <x v="11"/>
    <n v="2"/>
    <n v="0"/>
    <n v="2"/>
  </r>
  <r>
    <n v="30"/>
    <x v="1"/>
    <s v="Non-Travel"/>
    <n v="1400"/>
    <x v="1"/>
    <n v="3"/>
    <n v="3"/>
    <s v="Life Sciences"/>
    <n v="1"/>
    <n v="562"/>
    <x v="1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x v="0"/>
    <x v="8"/>
    <n v="3"/>
    <n v="1"/>
    <n v="4"/>
  </r>
  <r>
    <n v="29"/>
    <x v="1"/>
    <s v="Travel_Rarely"/>
    <n v="986"/>
    <x v="1"/>
    <n v="3"/>
    <n v="4"/>
    <s v="Medical"/>
    <n v="1"/>
    <n v="564"/>
    <x v="0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x v="1"/>
    <x v="1"/>
    <n v="2"/>
    <n v="0"/>
    <n v="7"/>
  </r>
  <r>
    <n v="29"/>
    <x v="0"/>
    <s v="Travel_Rarely"/>
    <n v="408"/>
    <x v="1"/>
    <n v="25"/>
    <n v="5"/>
    <s v="Technical Degree"/>
    <n v="1"/>
    <n v="565"/>
    <x v="1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x v="3"/>
    <x v="4"/>
    <n v="2"/>
    <n v="1"/>
    <n v="1"/>
  </r>
  <r>
    <n v="19"/>
    <x v="0"/>
    <s v="Travel_Rarely"/>
    <n v="489"/>
    <x v="2"/>
    <n v="2"/>
    <n v="2"/>
    <s v="Technical Degree"/>
    <n v="1"/>
    <n v="566"/>
    <x v="3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x v="3"/>
    <x v="6"/>
    <n v="0"/>
    <n v="0"/>
    <n v="0"/>
  </r>
  <r>
    <n v="30"/>
    <x v="1"/>
    <s v="Non-Travel"/>
    <n v="1398"/>
    <x v="0"/>
    <n v="22"/>
    <n v="4"/>
    <s v="Other"/>
    <n v="1"/>
    <n v="567"/>
    <x v="1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x v="1"/>
    <x v="7"/>
    <n v="8"/>
    <n v="7"/>
    <n v="8"/>
  </r>
  <r>
    <n v="57"/>
    <x v="1"/>
    <s v="Travel_Rarely"/>
    <n v="210"/>
    <x v="0"/>
    <n v="29"/>
    <n v="3"/>
    <s v="Marketing"/>
    <n v="1"/>
    <n v="568"/>
    <x v="3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x v="2"/>
    <x v="6"/>
    <n v="0"/>
    <n v="0"/>
    <n v="0"/>
  </r>
  <r>
    <n v="50"/>
    <x v="1"/>
    <s v="Travel_Rarely"/>
    <n v="1099"/>
    <x v="1"/>
    <n v="29"/>
    <n v="4"/>
    <s v="Life Sciences"/>
    <n v="1"/>
    <n v="569"/>
    <x v="0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x v="1"/>
    <x v="16"/>
    <n v="10"/>
    <n v="15"/>
    <n v="7"/>
  </r>
  <r>
    <n v="30"/>
    <x v="1"/>
    <s v="Non-Travel"/>
    <n v="1116"/>
    <x v="1"/>
    <n v="2"/>
    <n v="3"/>
    <s v="Medical"/>
    <n v="1"/>
    <n v="571"/>
    <x v="1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x v="2"/>
    <x v="19"/>
    <n v="7"/>
    <n v="6"/>
    <n v="7"/>
  </r>
  <r>
    <n v="60"/>
    <x v="1"/>
    <s v="Travel_Frequently"/>
    <n v="1499"/>
    <x v="0"/>
    <n v="28"/>
    <n v="3"/>
    <s v="Marketing"/>
    <n v="1"/>
    <n v="573"/>
    <x v="1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x v="3"/>
    <x v="29"/>
    <n v="13"/>
    <n v="13"/>
    <n v="11"/>
  </r>
  <r>
    <n v="47"/>
    <x v="1"/>
    <s v="Travel_Rarely"/>
    <n v="983"/>
    <x v="1"/>
    <n v="2"/>
    <n v="2"/>
    <s v="Medical"/>
    <n v="1"/>
    <n v="574"/>
    <x v="3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x v="1"/>
    <x v="8"/>
    <n v="0"/>
    <n v="0"/>
    <n v="4"/>
  </r>
  <r>
    <n v="46"/>
    <x v="1"/>
    <s v="Travel_Rarely"/>
    <n v="1009"/>
    <x v="1"/>
    <n v="2"/>
    <n v="3"/>
    <s v="Life Sciences"/>
    <n v="1"/>
    <n v="575"/>
    <x v="3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x v="0"/>
    <x v="11"/>
    <n v="2"/>
    <n v="0"/>
    <n v="1"/>
  </r>
  <r>
    <n v="35"/>
    <x v="1"/>
    <s v="Travel_Rarely"/>
    <n v="144"/>
    <x v="1"/>
    <n v="22"/>
    <n v="3"/>
    <s v="Life Sciences"/>
    <n v="1"/>
    <n v="577"/>
    <x v="2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x v="1"/>
    <x v="8"/>
    <n v="4"/>
    <n v="4"/>
    <n v="3"/>
  </r>
  <r>
    <n v="54"/>
    <x v="1"/>
    <s v="Travel_Rarely"/>
    <n v="548"/>
    <x v="1"/>
    <n v="8"/>
    <n v="4"/>
    <s v="Life Sciences"/>
    <n v="1"/>
    <n v="578"/>
    <x v="1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x v="1"/>
    <x v="6"/>
    <n v="0"/>
    <n v="0"/>
    <n v="0"/>
  </r>
  <r>
    <n v="34"/>
    <x v="1"/>
    <s v="Travel_Rarely"/>
    <n v="1303"/>
    <x v="1"/>
    <n v="2"/>
    <n v="4"/>
    <s v="Life Sciences"/>
    <n v="1"/>
    <n v="579"/>
    <x v="2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x v="1"/>
    <x v="5"/>
    <n v="3"/>
    <n v="5"/>
    <n v="7"/>
  </r>
  <r>
    <n v="46"/>
    <x v="1"/>
    <s v="Travel_Rarely"/>
    <n v="1125"/>
    <x v="0"/>
    <n v="10"/>
    <n v="3"/>
    <s v="Marketing"/>
    <n v="1"/>
    <n v="580"/>
    <x v="1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x v="1"/>
    <x v="11"/>
    <n v="2"/>
    <n v="1"/>
    <n v="2"/>
  </r>
  <r>
    <n v="31"/>
    <x v="1"/>
    <s v="Travel_Rarely"/>
    <n v="1274"/>
    <x v="1"/>
    <n v="9"/>
    <n v="1"/>
    <s v="Life Sciences"/>
    <n v="1"/>
    <n v="581"/>
    <x v="1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x v="3"/>
    <x v="20"/>
    <n v="8"/>
    <n v="0"/>
    <n v="8"/>
  </r>
  <r>
    <n v="33"/>
    <x v="0"/>
    <s v="Travel_Rarely"/>
    <n v="1277"/>
    <x v="1"/>
    <n v="15"/>
    <n v="1"/>
    <s v="Medical"/>
    <n v="1"/>
    <n v="582"/>
    <x v="0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x v="3"/>
    <x v="5"/>
    <n v="6"/>
    <n v="7"/>
    <n v="7"/>
  </r>
  <r>
    <n v="33"/>
    <x v="0"/>
    <s v="Travel_Rarely"/>
    <n v="587"/>
    <x v="1"/>
    <n v="10"/>
    <n v="1"/>
    <s v="Medical"/>
    <n v="1"/>
    <n v="584"/>
    <x v="3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x v="1"/>
    <x v="9"/>
    <n v="3"/>
    <n v="1"/>
    <n v="3"/>
  </r>
  <r>
    <n v="30"/>
    <x v="1"/>
    <s v="Travel_Rarely"/>
    <n v="413"/>
    <x v="0"/>
    <n v="7"/>
    <n v="1"/>
    <s v="Marketing"/>
    <n v="1"/>
    <n v="585"/>
    <x v="2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x v="1"/>
    <x v="11"/>
    <n v="2"/>
    <n v="1"/>
    <n v="2"/>
  </r>
  <r>
    <n v="35"/>
    <x v="1"/>
    <s v="Travel_Rarely"/>
    <n v="1276"/>
    <x v="1"/>
    <n v="16"/>
    <n v="3"/>
    <s v="Life Sciences"/>
    <n v="1"/>
    <n v="586"/>
    <x v="2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x v="1"/>
    <x v="3"/>
    <n v="7"/>
    <n v="0"/>
    <n v="0"/>
  </r>
  <r>
    <n v="31"/>
    <x v="0"/>
    <s v="Travel_Frequently"/>
    <n v="534"/>
    <x v="1"/>
    <n v="20"/>
    <n v="3"/>
    <s v="Life Sciences"/>
    <n v="1"/>
    <n v="587"/>
    <x v="3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x v="1"/>
    <x v="6"/>
    <n v="0"/>
    <n v="0"/>
    <n v="0"/>
  </r>
  <r>
    <n v="34"/>
    <x v="0"/>
    <s v="Travel_Frequently"/>
    <n v="988"/>
    <x v="2"/>
    <n v="23"/>
    <n v="3"/>
    <s v="Human Resources"/>
    <n v="1"/>
    <n v="590"/>
    <x v="0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x v="1"/>
    <x v="11"/>
    <n v="2"/>
    <n v="0"/>
    <n v="2"/>
  </r>
  <r>
    <n v="42"/>
    <x v="1"/>
    <s v="Travel_Frequently"/>
    <n v="1474"/>
    <x v="1"/>
    <n v="5"/>
    <n v="2"/>
    <s v="Other"/>
    <n v="1"/>
    <n v="591"/>
    <x v="0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x v="1"/>
    <x v="4"/>
    <n v="2"/>
    <n v="2"/>
    <n v="0"/>
  </r>
  <r>
    <n v="36"/>
    <x v="1"/>
    <s v="Non-Travel"/>
    <n v="635"/>
    <x v="0"/>
    <n v="10"/>
    <n v="4"/>
    <s v="Medical"/>
    <n v="1"/>
    <n v="592"/>
    <x v="0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x v="2"/>
    <x v="1"/>
    <n v="3"/>
    <n v="9"/>
    <n v="7"/>
  </r>
  <r>
    <n v="22"/>
    <x v="0"/>
    <s v="Travel_Frequently"/>
    <n v="1368"/>
    <x v="1"/>
    <n v="4"/>
    <n v="1"/>
    <s v="Technical Degree"/>
    <n v="1"/>
    <n v="593"/>
    <x v="1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x v="1"/>
    <x v="4"/>
    <n v="2"/>
    <n v="1"/>
    <n v="2"/>
  </r>
  <r>
    <n v="48"/>
    <x v="1"/>
    <s v="Travel_Rarely"/>
    <n v="163"/>
    <x v="0"/>
    <n v="2"/>
    <n v="5"/>
    <s v="Marketing"/>
    <n v="1"/>
    <n v="595"/>
    <x v="0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x v="1"/>
    <x v="7"/>
    <n v="7"/>
    <n v="6"/>
    <n v="7"/>
  </r>
  <r>
    <n v="55"/>
    <x v="1"/>
    <s v="Travel_Rarely"/>
    <n v="1117"/>
    <x v="0"/>
    <n v="18"/>
    <n v="5"/>
    <s v="Life Sciences"/>
    <n v="1"/>
    <n v="597"/>
    <x v="3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x v="1"/>
    <x v="1"/>
    <n v="9"/>
    <n v="7"/>
    <n v="7"/>
  </r>
  <r>
    <n v="41"/>
    <x v="1"/>
    <s v="Non-Travel"/>
    <n v="267"/>
    <x v="0"/>
    <n v="10"/>
    <n v="2"/>
    <s v="Life Sciences"/>
    <n v="1"/>
    <n v="599"/>
    <x v="2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x v="1"/>
    <x v="13"/>
    <n v="3"/>
    <n v="1"/>
    <n v="10"/>
  </r>
  <r>
    <n v="35"/>
    <x v="1"/>
    <s v="Travel_Rarely"/>
    <n v="619"/>
    <x v="0"/>
    <n v="1"/>
    <n v="3"/>
    <s v="Marketing"/>
    <n v="1"/>
    <n v="600"/>
    <x v="0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x v="1"/>
    <x v="19"/>
    <n v="9"/>
    <n v="6"/>
    <n v="9"/>
  </r>
  <r>
    <n v="40"/>
    <x v="1"/>
    <s v="Travel_Rarely"/>
    <n v="302"/>
    <x v="1"/>
    <n v="6"/>
    <n v="3"/>
    <s v="Life Sciences"/>
    <n v="1"/>
    <n v="601"/>
    <x v="0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x v="1"/>
    <x v="23"/>
    <n v="6"/>
    <n v="5"/>
    <n v="13"/>
  </r>
  <r>
    <n v="39"/>
    <x v="1"/>
    <s v="Travel_Frequently"/>
    <n v="443"/>
    <x v="1"/>
    <n v="8"/>
    <n v="1"/>
    <s v="Life Sciences"/>
    <n v="1"/>
    <n v="602"/>
    <x v="1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x v="1"/>
    <x v="3"/>
    <n v="3"/>
    <n v="0"/>
    <n v="7"/>
  </r>
  <r>
    <n v="31"/>
    <x v="1"/>
    <s v="Travel_Rarely"/>
    <n v="828"/>
    <x v="0"/>
    <n v="2"/>
    <n v="1"/>
    <s v="Life Sciences"/>
    <n v="1"/>
    <n v="604"/>
    <x v="0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x v="3"/>
    <x v="0"/>
    <n v="5"/>
    <n v="0"/>
    <n v="5"/>
  </r>
  <r>
    <n v="42"/>
    <x v="1"/>
    <s v="Travel_Rarely"/>
    <n v="319"/>
    <x v="1"/>
    <n v="24"/>
    <n v="3"/>
    <s v="Medical"/>
    <n v="1"/>
    <n v="605"/>
    <x v="2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x v="2"/>
    <x v="1"/>
    <n v="9"/>
    <n v="5"/>
    <n v="8"/>
  </r>
  <r>
    <n v="45"/>
    <x v="1"/>
    <s v="Travel_Rarely"/>
    <n v="561"/>
    <x v="0"/>
    <n v="2"/>
    <n v="3"/>
    <s v="Other"/>
    <n v="1"/>
    <n v="606"/>
    <x v="2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x v="3"/>
    <x v="3"/>
    <n v="7"/>
    <n v="3"/>
    <n v="7"/>
  </r>
  <r>
    <n v="26"/>
    <x v="0"/>
    <s v="Travel_Frequently"/>
    <n v="426"/>
    <x v="2"/>
    <n v="17"/>
    <n v="4"/>
    <s v="Life Sciences"/>
    <n v="1"/>
    <n v="608"/>
    <x v="0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x v="2"/>
    <x v="5"/>
    <n v="7"/>
    <n v="1"/>
    <n v="0"/>
  </r>
  <r>
    <n v="29"/>
    <x v="1"/>
    <s v="Travel_Rarely"/>
    <n v="232"/>
    <x v="1"/>
    <n v="19"/>
    <n v="3"/>
    <s v="Technical Degree"/>
    <n v="1"/>
    <n v="611"/>
    <x v="2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x v="3"/>
    <x v="11"/>
    <n v="2"/>
    <n v="1"/>
    <n v="2"/>
  </r>
  <r>
    <n v="33"/>
    <x v="1"/>
    <s v="Travel_Rarely"/>
    <n v="922"/>
    <x v="1"/>
    <n v="1"/>
    <n v="5"/>
    <s v="Medical"/>
    <n v="1"/>
    <n v="612"/>
    <x v="3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x v="1"/>
    <x v="0"/>
    <n v="1"/>
    <n v="0"/>
    <n v="5"/>
  </r>
  <r>
    <n v="31"/>
    <x v="1"/>
    <s v="Travel_Rarely"/>
    <n v="688"/>
    <x v="0"/>
    <n v="7"/>
    <n v="3"/>
    <s v="Life Sciences"/>
    <n v="1"/>
    <n v="613"/>
    <x v="1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x v="2"/>
    <x v="8"/>
    <n v="4"/>
    <n v="0"/>
    <n v="1"/>
  </r>
  <r>
    <n v="18"/>
    <x v="0"/>
    <s v="Travel_Frequently"/>
    <n v="1306"/>
    <x v="0"/>
    <n v="5"/>
    <n v="3"/>
    <s v="Marketing"/>
    <n v="1"/>
    <n v="614"/>
    <x v="0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x v="1"/>
    <x v="2"/>
    <n v="0"/>
    <n v="0"/>
    <n v="0"/>
  </r>
  <r>
    <n v="40"/>
    <x v="1"/>
    <s v="Non-Travel"/>
    <n v="1094"/>
    <x v="0"/>
    <n v="28"/>
    <n v="3"/>
    <s v="Other"/>
    <n v="1"/>
    <n v="615"/>
    <x v="1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x v="1"/>
    <x v="6"/>
    <n v="0"/>
    <n v="0"/>
    <n v="1"/>
  </r>
  <r>
    <n v="41"/>
    <x v="1"/>
    <s v="Non-Travel"/>
    <n v="509"/>
    <x v="1"/>
    <n v="2"/>
    <n v="4"/>
    <s v="Other"/>
    <n v="1"/>
    <n v="616"/>
    <x v="3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x v="1"/>
    <x v="3"/>
    <n v="7"/>
    <n v="0"/>
    <n v="7"/>
  </r>
  <r>
    <n v="26"/>
    <x v="1"/>
    <s v="Travel_Rarely"/>
    <n v="775"/>
    <x v="0"/>
    <n v="29"/>
    <n v="2"/>
    <s v="Medical"/>
    <n v="1"/>
    <n v="618"/>
    <x v="3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x v="1"/>
    <x v="2"/>
    <n v="0"/>
    <n v="0"/>
    <n v="0"/>
  </r>
  <r>
    <n v="35"/>
    <x v="1"/>
    <s v="Travel_Rarely"/>
    <n v="195"/>
    <x v="0"/>
    <n v="1"/>
    <n v="3"/>
    <s v="Medical"/>
    <n v="1"/>
    <n v="620"/>
    <x v="3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x v="1"/>
    <x v="8"/>
    <n v="4"/>
    <n v="0"/>
    <n v="3"/>
  </r>
  <r>
    <n v="34"/>
    <x v="1"/>
    <s v="Travel_Rarely"/>
    <n v="258"/>
    <x v="0"/>
    <n v="21"/>
    <n v="4"/>
    <s v="Life Sciences"/>
    <n v="1"/>
    <n v="621"/>
    <x v="2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x v="1"/>
    <x v="1"/>
    <n v="7"/>
    <n v="5"/>
    <n v="7"/>
  </r>
  <r>
    <n v="26"/>
    <x v="0"/>
    <s v="Travel_Rarely"/>
    <n v="471"/>
    <x v="1"/>
    <n v="24"/>
    <n v="3"/>
    <s v="Technical Degree"/>
    <n v="1"/>
    <n v="622"/>
    <x v="1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x v="0"/>
    <x v="6"/>
    <n v="0"/>
    <n v="0"/>
    <n v="0"/>
  </r>
  <r>
    <n v="37"/>
    <x v="1"/>
    <s v="Travel_Rarely"/>
    <n v="799"/>
    <x v="1"/>
    <n v="1"/>
    <n v="3"/>
    <s v="Technical Degree"/>
    <n v="1"/>
    <n v="623"/>
    <x v="0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x v="3"/>
    <x v="0"/>
    <n v="5"/>
    <n v="1"/>
    <n v="2"/>
  </r>
  <r>
    <n v="46"/>
    <x v="1"/>
    <s v="Travel_Frequently"/>
    <n v="1034"/>
    <x v="1"/>
    <n v="18"/>
    <n v="1"/>
    <s v="Medical"/>
    <n v="1"/>
    <n v="624"/>
    <x v="3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x v="2"/>
    <x v="4"/>
    <n v="2"/>
    <n v="1"/>
    <n v="2"/>
  </r>
  <r>
    <n v="41"/>
    <x v="1"/>
    <s v="Travel_Rarely"/>
    <n v="1276"/>
    <x v="0"/>
    <n v="2"/>
    <n v="5"/>
    <s v="Life Sciences"/>
    <n v="1"/>
    <n v="625"/>
    <x v="0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x v="1"/>
    <x v="29"/>
    <n v="16"/>
    <n v="11"/>
    <n v="8"/>
  </r>
  <r>
    <n v="37"/>
    <x v="1"/>
    <s v="Non-Travel"/>
    <n v="142"/>
    <x v="0"/>
    <n v="9"/>
    <n v="4"/>
    <s v="Medical"/>
    <n v="1"/>
    <n v="626"/>
    <x v="3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x v="1"/>
    <x v="7"/>
    <n v="5"/>
    <n v="7"/>
    <n v="7"/>
  </r>
  <r>
    <n v="52"/>
    <x v="1"/>
    <s v="Travel_Rarely"/>
    <n v="956"/>
    <x v="1"/>
    <n v="6"/>
    <n v="2"/>
    <s v="Technical Degree"/>
    <n v="1"/>
    <n v="630"/>
    <x v="2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x v="1"/>
    <x v="1"/>
    <n v="9"/>
    <n v="6"/>
    <n v="9"/>
  </r>
  <r>
    <n v="32"/>
    <x v="0"/>
    <s v="Non-Travel"/>
    <n v="1474"/>
    <x v="0"/>
    <n v="11"/>
    <n v="4"/>
    <s v="Other"/>
    <n v="1"/>
    <n v="631"/>
    <x v="2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x v="1"/>
    <x v="9"/>
    <n v="2"/>
    <n v="1"/>
    <n v="2"/>
  </r>
  <r>
    <n v="24"/>
    <x v="1"/>
    <s v="Travel_Frequently"/>
    <n v="535"/>
    <x v="0"/>
    <n v="24"/>
    <n v="3"/>
    <s v="Medical"/>
    <n v="1"/>
    <n v="632"/>
    <x v="2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x v="1"/>
    <x v="4"/>
    <n v="2"/>
    <n v="2"/>
    <n v="1"/>
  </r>
  <r>
    <n v="38"/>
    <x v="1"/>
    <s v="Travel_Rarely"/>
    <n v="1495"/>
    <x v="1"/>
    <n v="10"/>
    <n v="3"/>
    <s v="Medical"/>
    <n v="1"/>
    <n v="634"/>
    <x v="1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x v="1"/>
    <x v="6"/>
    <n v="0"/>
    <n v="0"/>
    <n v="0"/>
  </r>
  <r>
    <n v="37"/>
    <x v="1"/>
    <s v="Travel_Rarely"/>
    <n v="446"/>
    <x v="1"/>
    <n v="1"/>
    <n v="4"/>
    <s v="Life Sciences"/>
    <n v="1"/>
    <n v="635"/>
    <x v="0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x v="2"/>
    <x v="0"/>
    <n v="5"/>
    <n v="4"/>
    <n v="3"/>
  </r>
  <r>
    <n v="49"/>
    <x v="1"/>
    <s v="Travel_Rarely"/>
    <n v="1245"/>
    <x v="1"/>
    <n v="18"/>
    <n v="4"/>
    <s v="Life Sciences"/>
    <n v="1"/>
    <n v="638"/>
    <x v="2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x v="1"/>
    <x v="31"/>
    <n v="9"/>
    <n v="0"/>
    <n v="9"/>
  </r>
  <r>
    <n v="24"/>
    <x v="1"/>
    <s v="Travel_Rarely"/>
    <n v="691"/>
    <x v="1"/>
    <n v="23"/>
    <n v="3"/>
    <s v="Medical"/>
    <n v="1"/>
    <n v="639"/>
    <x v="0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x v="1"/>
    <x v="0"/>
    <n v="5"/>
    <n v="1"/>
    <n v="4"/>
  </r>
  <r>
    <n v="26"/>
    <x v="1"/>
    <s v="Travel_Rarely"/>
    <n v="703"/>
    <x v="0"/>
    <n v="28"/>
    <n v="2"/>
    <s v="Marketing"/>
    <n v="1"/>
    <n v="641"/>
    <x v="3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x v="3"/>
    <x v="8"/>
    <n v="3"/>
    <n v="1"/>
    <n v="4"/>
  </r>
  <r>
    <n v="24"/>
    <x v="1"/>
    <s v="Travel_Rarely"/>
    <n v="823"/>
    <x v="1"/>
    <n v="17"/>
    <n v="2"/>
    <s v="Other"/>
    <n v="1"/>
    <n v="643"/>
    <x v="2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x v="1"/>
    <x v="6"/>
    <n v="0"/>
    <n v="0"/>
    <n v="0"/>
  </r>
  <r>
    <n v="50"/>
    <x v="1"/>
    <s v="Travel_Frequently"/>
    <n v="1246"/>
    <x v="2"/>
    <n v="3"/>
    <n v="3"/>
    <s v="Medical"/>
    <n v="1"/>
    <n v="644"/>
    <x v="3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x v="1"/>
    <x v="32"/>
    <n v="5"/>
    <n v="10"/>
    <n v="7"/>
  </r>
  <r>
    <n v="25"/>
    <x v="1"/>
    <s v="Travel_Rarely"/>
    <n v="622"/>
    <x v="0"/>
    <n v="13"/>
    <n v="1"/>
    <s v="Medical"/>
    <n v="1"/>
    <n v="645"/>
    <x v="0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x v="1"/>
    <x v="5"/>
    <n v="4"/>
    <n v="0"/>
    <n v="6"/>
  </r>
  <r>
    <n v="24"/>
    <x v="0"/>
    <s v="Travel_Frequently"/>
    <n v="1287"/>
    <x v="1"/>
    <n v="7"/>
    <n v="3"/>
    <s v="Life Sciences"/>
    <n v="1"/>
    <n v="647"/>
    <x v="3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x v="1"/>
    <x v="0"/>
    <n v="3"/>
    <n v="1"/>
    <n v="2"/>
  </r>
  <r>
    <n v="30"/>
    <x v="0"/>
    <s v="Travel_Frequently"/>
    <n v="448"/>
    <x v="0"/>
    <n v="12"/>
    <n v="4"/>
    <s v="Life Sciences"/>
    <n v="1"/>
    <n v="648"/>
    <x v="0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x v="3"/>
    <x v="6"/>
    <n v="0"/>
    <n v="0"/>
    <n v="0"/>
  </r>
  <r>
    <n v="34"/>
    <x v="1"/>
    <s v="Travel_Rarely"/>
    <n v="254"/>
    <x v="1"/>
    <n v="1"/>
    <n v="2"/>
    <s v="Life Sciences"/>
    <n v="1"/>
    <n v="649"/>
    <x v="0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x v="1"/>
    <x v="0"/>
    <n v="5"/>
    <n v="1"/>
    <n v="3"/>
  </r>
  <r>
    <n v="31"/>
    <x v="0"/>
    <s v="Travel_Rarely"/>
    <n v="1365"/>
    <x v="0"/>
    <n v="13"/>
    <n v="4"/>
    <s v="Medical"/>
    <n v="1"/>
    <n v="650"/>
    <x v="0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x v="0"/>
    <x v="11"/>
    <n v="1"/>
    <n v="1"/>
    <n v="2"/>
  </r>
  <r>
    <n v="35"/>
    <x v="1"/>
    <s v="Travel_Rarely"/>
    <n v="538"/>
    <x v="1"/>
    <n v="25"/>
    <n v="2"/>
    <s v="Other"/>
    <n v="1"/>
    <n v="652"/>
    <x v="3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x v="1"/>
    <x v="11"/>
    <n v="2"/>
    <n v="0"/>
    <n v="2"/>
  </r>
  <r>
    <n v="31"/>
    <x v="1"/>
    <s v="Travel_Rarely"/>
    <n v="525"/>
    <x v="0"/>
    <n v="6"/>
    <n v="4"/>
    <s v="Medical"/>
    <n v="1"/>
    <n v="653"/>
    <x v="3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x v="3"/>
    <x v="5"/>
    <n v="7"/>
    <n v="5"/>
    <n v="7"/>
  </r>
  <r>
    <n v="27"/>
    <x v="1"/>
    <s v="Travel_Rarely"/>
    <n v="798"/>
    <x v="1"/>
    <n v="6"/>
    <n v="4"/>
    <s v="Medical"/>
    <n v="1"/>
    <n v="655"/>
    <x v="3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x v="2"/>
    <x v="8"/>
    <n v="3"/>
    <n v="0"/>
    <n v="3"/>
  </r>
  <r>
    <n v="37"/>
    <x v="1"/>
    <s v="Travel_Rarely"/>
    <n v="558"/>
    <x v="0"/>
    <n v="2"/>
    <n v="3"/>
    <s v="Marketing"/>
    <n v="1"/>
    <n v="656"/>
    <x v="2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x v="2"/>
    <x v="11"/>
    <n v="0"/>
    <n v="1"/>
    <n v="0"/>
  </r>
  <r>
    <n v="20"/>
    <x v="1"/>
    <s v="Travel_Rarely"/>
    <n v="959"/>
    <x v="1"/>
    <n v="1"/>
    <n v="3"/>
    <s v="Life Sciences"/>
    <n v="1"/>
    <n v="657"/>
    <x v="2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x v="3"/>
    <x v="6"/>
    <n v="0"/>
    <n v="0"/>
    <n v="0"/>
  </r>
  <r>
    <n v="42"/>
    <x v="1"/>
    <s v="Travel_Rarely"/>
    <n v="622"/>
    <x v="1"/>
    <n v="2"/>
    <n v="4"/>
    <s v="Life Sciences"/>
    <n v="1"/>
    <n v="659"/>
    <x v="1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x v="1"/>
    <x v="1"/>
    <n v="2"/>
    <n v="2"/>
    <n v="2"/>
  </r>
  <r>
    <n v="43"/>
    <x v="1"/>
    <s v="Travel_Rarely"/>
    <n v="782"/>
    <x v="1"/>
    <n v="6"/>
    <n v="4"/>
    <s v="Other"/>
    <n v="1"/>
    <n v="661"/>
    <x v="0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x v="2"/>
    <x v="6"/>
    <n v="0"/>
    <n v="0"/>
    <n v="0"/>
  </r>
  <r>
    <n v="38"/>
    <x v="1"/>
    <s v="Travel_Rarely"/>
    <n v="362"/>
    <x v="1"/>
    <n v="1"/>
    <n v="1"/>
    <s v="Life Sciences"/>
    <n v="1"/>
    <n v="662"/>
    <x v="1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x v="2"/>
    <x v="2"/>
    <n v="0"/>
    <n v="0"/>
    <n v="0"/>
  </r>
  <r>
    <n v="43"/>
    <x v="1"/>
    <s v="Travel_Frequently"/>
    <n v="1001"/>
    <x v="1"/>
    <n v="9"/>
    <n v="5"/>
    <s v="Medical"/>
    <n v="1"/>
    <n v="663"/>
    <x v="2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x v="1"/>
    <x v="3"/>
    <n v="7"/>
    <n v="4"/>
    <n v="7"/>
  </r>
  <r>
    <n v="48"/>
    <x v="1"/>
    <s v="Travel_Rarely"/>
    <n v="1236"/>
    <x v="1"/>
    <n v="1"/>
    <n v="4"/>
    <s v="Life Sciences"/>
    <n v="1"/>
    <n v="664"/>
    <x v="2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x v="0"/>
    <x v="11"/>
    <n v="2"/>
    <n v="0"/>
    <n v="2"/>
  </r>
  <r>
    <n v="44"/>
    <x v="1"/>
    <s v="Travel_Rarely"/>
    <n v="1112"/>
    <x v="2"/>
    <n v="1"/>
    <n v="4"/>
    <s v="Life Sciences"/>
    <n v="1"/>
    <n v="665"/>
    <x v="3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x v="3"/>
    <x v="4"/>
    <n v="2"/>
    <n v="0"/>
    <n v="2"/>
  </r>
  <r>
    <n v="34"/>
    <x v="1"/>
    <s v="Travel_Rarely"/>
    <n v="204"/>
    <x v="0"/>
    <n v="14"/>
    <n v="3"/>
    <s v="Technical Degree"/>
    <n v="1"/>
    <n v="666"/>
    <x v="1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x v="1"/>
    <x v="3"/>
    <n v="2"/>
    <n v="0"/>
    <n v="6"/>
  </r>
  <r>
    <n v="27"/>
    <x v="0"/>
    <s v="Travel_Rarely"/>
    <n v="1420"/>
    <x v="0"/>
    <n v="2"/>
    <n v="1"/>
    <s v="Marketing"/>
    <n v="1"/>
    <n v="667"/>
    <x v="1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x v="1"/>
    <x v="9"/>
    <n v="3"/>
    <n v="0"/>
    <n v="2"/>
  </r>
  <r>
    <n v="21"/>
    <x v="1"/>
    <s v="Travel_Rarely"/>
    <n v="1343"/>
    <x v="0"/>
    <n v="22"/>
    <n v="1"/>
    <s v="Technical Degree"/>
    <n v="1"/>
    <n v="669"/>
    <x v="1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x v="1"/>
    <x v="11"/>
    <n v="2"/>
    <n v="1"/>
    <n v="2"/>
  </r>
  <r>
    <n v="44"/>
    <x v="1"/>
    <s v="Travel_Rarely"/>
    <n v="1315"/>
    <x v="1"/>
    <n v="3"/>
    <n v="4"/>
    <s v="Other"/>
    <n v="1"/>
    <n v="671"/>
    <x v="2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x v="3"/>
    <x v="4"/>
    <n v="2"/>
    <n v="0"/>
    <n v="1"/>
  </r>
  <r>
    <n v="22"/>
    <x v="1"/>
    <s v="Travel_Rarely"/>
    <n v="604"/>
    <x v="1"/>
    <n v="6"/>
    <n v="1"/>
    <s v="Medical"/>
    <n v="1"/>
    <n v="675"/>
    <x v="3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x v="1"/>
    <x v="4"/>
    <n v="2"/>
    <n v="2"/>
    <n v="2"/>
  </r>
  <r>
    <n v="33"/>
    <x v="1"/>
    <s v="Travel_Rarely"/>
    <n v="1216"/>
    <x v="0"/>
    <n v="8"/>
    <n v="4"/>
    <s v="Marketing"/>
    <n v="1"/>
    <n v="677"/>
    <x v="1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x v="1"/>
    <x v="8"/>
    <n v="0"/>
    <n v="1"/>
    <n v="2"/>
  </r>
  <r>
    <n v="32"/>
    <x v="1"/>
    <s v="Travel_Rarely"/>
    <n v="646"/>
    <x v="1"/>
    <n v="9"/>
    <n v="4"/>
    <s v="Life Sciences"/>
    <n v="1"/>
    <n v="679"/>
    <x v="3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x v="2"/>
    <x v="0"/>
    <n v="4"/>
    <n v="0"/>
    <n v="5"/>
  </r>
  <r>
    <n v="30"/>
    <x v="1"/>
    <s v="Travel_Frequently"/>
    <n v="160"/>
    <x v="1"/>
    <n v="3"/>
    <n v="3"/>
    <s v="Medical"/>
    <n v="1"/>
    <n v="680"/>
    <x v="1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x v="1"/>
    <x v="6"/>
    <n v="0"/>
    <n v="0"/>
    <n v="0"/>
  </r>
  <r>
    <n v="53"/>
    <x v="1"/>
    <s v="Travel_Rarely"/>
    <n v="238"/>
    <x v="0"/>
    <n v="1"/>
    <n v="1"/>
    <s v="Medical"/>
    <n v="1"/>
    <n v="682"/>
    <x v="2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x v="3"/>
    <x v="13"/>
    <n v="7"/>
    <n v="8"/>
    <n v="10"/>
  </r>
  <r>
    <n v="34"/>
    <x v="1"/>
    <s v="Travel_Rarely"/>
    <n v="1397"/>
    <x v="1"/>
    <n v="1"/>
    <n v="5"/>
    <s v="Life Sciences"/>
    <n v="1"/>
    <n v="683"/>
    <x v="0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x v="2"/>
    <x v="1"/>
    <n v="9"/>
    <n v="8"/>
    <n v="8"/>
  </r>
  <r>
    <n v="45"/>
    <x v="0"/>
    <s v="Travel_Frequently"/>
    <n v="306"/>
    <x v="0"/>
    <n v="26"/>
    <n v="4"/>
    <s v="Life Sciences"/>
    <n v="1"/>
    <n v="684"/>
    <x v="3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x v="1"/>
    <x v="6"/>
    <n v="1"/>
    <n v="0"/>
    <n v="0"/>
  </r>
  <r>
    <n v="26"/>
    <x v="1"/>
    <s v="Travel_Rarely"/>
    <n v="991"/>
    <x v="1"/>
    <n v="6"/>
    <n v="3"/>
    <s v="Life Sciences"/>
    <n v="1"/>
    <n v="686"/>
    <x v="1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x v="1"/>
    <x v="11"/>
    <n v="2"/>
    <n v="0"/>
    <n v="2"/>
  </r>
  <r>
    <n v="37"/>
    <x v="1"/>
    <s v="Travel_Rarely"/>
    <n v="482"/>
    <x v="1"/>
    <n v="3"/>
    <n v="3"/>
    <s v="Other"/>
    <n v="1"/>
    <n v="689"/>
    <x v="1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x v="1"/>
    <x v="1"/>
    <n v="7"/>
    <n v="7"/>
    <n v="8"/>
  </r>
  <r>
    <n v="29"/>
    <x v="1"/>
    <s v="Travel_Rarely"/>
    <n v="1176"/>
    <x v="0"/>
    <n v="3"/>
    <n v="2"/>
    <s v="Medical"/>
    <n v="1"/>
    <n v="690"/>
    <x v="0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x v="2"/>
    <x v="0"/>
    <n v="0"/>
    <n v="1"/>
    <n v="2"/>
  </r>
  <r>
    <n v="35"/>
    <x v="1"/>
    <s v="Travel_Rarely"/>
    <n v="1017"/>
    <x v="1"/>
    <n v="6"/>
    <n v="4"/>
    <s v="Life Sciences"/>
    <n v="1"/>
    <n v="691"/>
    <x v="0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x v="1"/>
    <x v="18"/>
    <n v="11"/>
    <n v="11"/>
    <n v="8"/>
  </r>
  <r>
    <n v="33"/>
    <x v="1"/>
    <s v="Travel_Frequently"/>
    <n v="1296"/>
    <x v="1"/>
    <n v="6"/>
    <n v="3"/>
    <s v="Life Sciences"/>
    <n v="1"/>
    <n v="692"/>
    <x v="1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x v="0"/>
    <x v="20"/>
    <n v="11"/>
    <n v="4"/>
    <n v="7"/>
  </r>
  <r>
    <n v="54"/>
    <x v="1"/>
    <s v="Travel_Rarely"/>
    <n v="397"/>
    <x v="2"/>
    <n v="19"/>
    <n v="4"/>
    <s v="Medical"/>
    <n v="1"/>
    <n v="698"/>
    <x v="1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x v="3"/>
    <x v="7"/>
    <n v="7"/>
    <n v="7"/>
    <n v="1"/>
  </r>
  <r>
    <n v="36"/>
    <x v="1"/>
    <s v="Travel_Rarely"/>
    <n v="913"/>
    <x v="1"/>
    <n v="9"/>
    <n v="2"/>
    <s v="Medical"/>
    <n v="1"/>
    <n v="699"/>
    <x v="0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x v="1"/>
    <x v="11"/>
    <n v="2"/>
    <n v="0"/>
    <n v="2"/>
  </r>
  <r>
    <n v="27"/>
    <x v="1"/>
    <s v="Travel_Rarely"/>
    <n v="1115"/>
    <x v="1"/>
    <n v="3"/>
    <n v="4"/>
    <s v="Medical"/>
    <n v="1"/>
    <n v="700"/>
    <x v="3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x v="1"/>
    <x v="9"/>
    <n v="2"/>
    <n v="1"/>
    <n v="1"/>
  </r>
  <r>
    <n v="20"/>
    <x v="0"/>
    <s v="Travel_Rarely"/>
    <n v="1362"/>
    <x v="1"/>
    <n v="10"/>
    <n v="1"/>
    <s v="Medical"/>
    <n v="1"/>
    <n v="701"/>
    <x v="2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x v="1"/>
    <x v="6"/>
    <n v="0"/>
    <n v="1"/>
    <n v="1"/>
  </r>
  <r>
    <n v="33"/>
    <x v="0"/>
    <s v="Travel_Frequently"/>
    <n v="1076"/>
    <x v="1"/>
    <n v="3"/>
    <n v="3"/>
    <s v="Life Sciences"/>
    <n v="1"/>
    <n v="702"/>
    <x v="3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x v="1"/>
    <x v="1"/>
    <n v="8"/>
    <n v="9"/>
    <n v="7"/>
  </r>
  <r>
    <n v="35"/>
    <x v="1"/>
    <s v="Non-Travel"/>
    <n v="727"/>
    <x v="1"/>
    <n v="3"/>
    <n v="3"/>
    <s v="Life Sciences"/>
    <n v="1"/>
    <n v="704"/>
    <x v="1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x v="1"/>
    <x v="6"/>
    <n v="0"/>
    <n v="0"/>
    <n v="0"/>
  </r>
  <r>
    <n v="23"/>
    <x v="1"/>
    <s v="Travel_Rarely"/>
    <n v="885"/>
    <x v="1"/>
    <n v="4"/>
    <n v="3"/>
    <s v="Medical"/>
    <n v="1"/>
    <n v="705"/>
    <x v="3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x v="3"/>
    <x v="11"/>
    <n v="2"/>
    <n v="0"/>
    <n v="2"/>
  </r>
  <r>
    <n v="25"/>
    <x v="1"/>
    <s v="Travel_Rarely"/>
    <n v="810"/>
    <x v="0"/>
    <n v="8"/>
    <n v="3"/>
    <s v="Life Sciences"/>
    <n v="1"/>
    <n v="707"/>
    <x v="2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x v="1"/>
    <x v="11"/>
    <n v="2"/>
    <n v="1"/>
    <n v="2"/>
  </r>
  <r>
    <n v="38"/>
    <x v="1"/>
    <s v="Travel_Rarely"/>
    <n v="243"/>
    <x v="0"/>
    <n v="7"/>
    <n v="4"/>
    <s v="Marketing"/>
    <n v="1"/>
    <n v="709"/>
    <x v="2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x v="1"/>
    <x v="5"/>
    <n v="7"/>
    <n v="0"/>
    <n v="5"/>
  </r>
  <r>
    <n v="29"/>
    <x v="1"/>
    <s v="Travel_Frequently"/>
    <n v="806"/>
    <x v="1"/>
    <n v="1"/>
    <n v="4"/>
    <s v="Life Sciences"/>
    <n v="1"/>
    <n v="710"/>
    <x v="0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x v="1"/>
    <x v="1"/>
    <n v="7"/>
    <n v="2"/>
    <n v="8"/>
  </r>
  <r>
    <n v="48"/>
    <x v="1"/>
    <s v="Travel_Rarely"/>
    <n v="817"/>
    <x v="0"/>
    <n v="2"/>
    <n v="1"/>
    <s v="Marketing"/>
    <n v="1"/>
    <n v="712"/>
    <x v="0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x v="1"/>
    <x v="4"/>
    <n v="2"/>
    <n v="2"/>
    <n v="2"/>
  </r>
  <r>
    <n v="27"/>
    <x v="1"/>
    <s v="Travel_Frequently"/>
    <n v="1410"/>
    <x v="0"/>
    <n v="3"/>
    <n v="1"/>
    <s v="Medical"/>
    <n v="1"/>
    <n v="714"/>
    <x v="2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x v="1"/>
    <x v="0"/>
    <n v="5"/>
    <n v="0"/>
    <n v="4"/>
  </r>
  <r>
    <n v="37"/>
    <x v="1"/>
    <s v="Travel_Rarely"/>
    <n v="1225"/>
    <x v="1"/>
    <n v="10"/>
    <n v="2"/>
    <s v="Life Sciences"/>
    <n v="1"/>
    <n v="715"/>
    <x v="2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x v="1"/>
    <x v="6"/>
    <n v="0"/>
    <n v="0"/>
    <n v="0"/>
  </r>
  <r>
    <n v="50"/>
    <x v="1"/>
    <s v="Travel_Rarely"/>
    <n v="1207"/>
    <x v="1"/>
    <n v="28"/>
    <n v="1"/>
    <s v="Medical"/>
    <n v="1"/>
    <n v="716"/>
    <x v="2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x v="1"/>
    <x v="23"/>
    <n v="8"/>
    <n v="3"/>
    <n v="8"/>
  </r>
  <r>
    <n v="34"/>
    <x v="1"/>
    <s v="Travel_Rarely"/>
    <n v="1442"/>
    <x v="1"/>
    <n v="9"/>
    <n v="3"/>
    <s v="Medical"/>
    <n v="1"/>
    <n v="717"/>
    <x v="2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x v="3"/>
    <x v="3"/>
    <n v="7"/>
    <n v="7"/>
    <n v="7"/>
  </r>
  <r>
    <n v="24"/>
    <x v="0"/>
    <s v="Travel_Rarely"/>
    <n v="693"/>
    <x v="0"/>
    <n v="3"/>
    <n v="2"/>
    <s v="Life Sciences"/>
    <n v="1"/>
    <n v="720"/>
    <x v="3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x v="1"/>
    <x v="4"/>
    <n v="2"/>
    <n v="2"/>
    <n v="0"/>
  </r>
  <r>
    <n v="39"/>
    <x v="1"/>
    <s v="Travel_Rarely"/>
    <n v="408"/>
    <x v="1"/>
    <n v="2"/>
    <n v="4"/>
    <s v="Technical Degree"/>
    <n v="1"/>
    <n v="721"/>
    <x v="2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x v="1"/>
    <x v="23"/>
    <n v="7"/>
    <n v="11"/>
    <n v="10"/>
  </r>
  <r>
    <n v="32"/>
    <x v="1"/>
    <s v="Travel_Rarely"/>
    <n v="929"/>
    <x v="0"/>
    <n v="10"/>
    <n v="3"/>
    <s v="Marketing"/>
    <n v="1"/>
    <n v="722"/>
    <x v="2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x v="2"/>
    <x v="1"/>
    <n v="7"/>
    <n v="0"/>
    <n v="8"/>
  </r>
  <r>
    <n v="50"/>
    <x v="0"/>
    <s v="Travel_Frequently"/>
    <n v="562"/>
    <x v="0"/>
    <n v="8"/>
    <n v="2"/>
    <s v="Technical Degree"/>
    <n v="1"/>
    <n v="723"/>
    <x v="0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x v="1"/>
    <x v="9"/>
    <n v="3"/>
    <n v="1"/>
    <n v="3"/>
  </r>
  <r>
    <n v="38"/>
    <x v="1"/>
    <s v="Travel_Rarely"/>
    <n v="827"/>
    <x v="1"/>
    <n v="1"/>
    <n v="4"/>
    <s v="Life Sciences"/>
    <n v="1"/>
    <n v="724"/>
    <x v="0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x v="2"/>
    <x v="7"/>
    <n v="7"/>
    <n v="1"/>
    <n v="8"/>
  </r>
  <r>
    <n v="27"/>
    <x v="1"/>
    <s v="Travel_Rarely"/>
    <n v="608"/>
    <x v="1"/>
    <n v="1"/>
    <n v="2"/>
    <s v="Life Sciences"/>
    <n v="1"/>
    <n v="725"/>
    <x v="1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x v="1"/>
    <x v="7"/>
    <n v="7"/>
    <n v="0"/>
    <n v="7"/>
  </r>
  <r>
    <n v="32"/>
    <x v="1"/>
    <s v="Travel_Rarely"/>
    <n v="1018"/>
    <x v="1"/>
    <n v="3"/>
    <n v="2"/>
    <s v="Life Sciences"/>
    <n v="1"/>
    <n v="727"/>
    <x v="1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x v="1"/>
    <x v="5"/>
    <n v="7"/>
    <n v="7"/>
    <n v="7"/>
  </r>
  <r>
    <n v="47"/>
    <x v="1"/>
    <s v="Travel_Rarely"/>
    <n v="703"/>
    <x v="0"/>
    <n v="14"/>
    <n v="4"/>
    <s v="Marketing"/>
    <n v="1"/>
    <n v="728"/>
    <x v="2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x v="1"/>
    <x v="5"/>
    <n v="7"/>
    <n v="1"/>
    <n v="7"/>
  </r>
  <r>
    <n v="40"/>
    <x v="1"/>
    <s v="Travel_Frequently"/>
    <n v="580"/>
    <x v="0"/>
    <n v="5"/>
    <n v="4"/>
    <s v="Life Sciences"/>
    <n v="1"/>
    <n v="729"/>
    <x v="2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x v="1"/>
    <x v="29"/>
    <n v="13"/>
    <n v="1"/>
    <n v="12"/>
  </r>
  <r>
    <n v="53"/>
    <x v="1"/>
    <s v="Travel_Rarely"/>
    <n v="970"/>
    <x v="1"/>
    <n v="7"/>
    <n v="3"/>
    <s v="Life Sciences"/>
    <n v="1"/>
    <n v="730"/>
    <x v="1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x v="1"/>
    <x v="8"/>
    <n v="1"/>
    <n v="1"/>
    <n v="3"/>
  </r>
  <r>
    <n v="41"/>
    <x v="1"/>
    <s v="Travel_Rarely"/>
    <n v="427"/>
    <x v="2"/>
    <n v="10"/>
    <n v="4"/>
    <s v="Human Resources"/>
    <n v="1"/>
    <n v="731"/>
    <x v="0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x v="2"/>
    <x v="17"/>
    <n v="6"/>
    <n v="12"/>
    <n v="6"/>
  </r>
  <r>
    <n v="60"/>
    <x v="1"/>
    <s v="Travel_Rarely"/>
    <n v="1179"/>
    <x v="0"/>
    <n v="16"/>
    <n v="4"/>
    <s v="Marketing"/>
    <n v="1"/>
    <n v="732"/>
    <x v="3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x v="1"/>
    <x v="4"/>
    <n v="2"/>
    <n v="2"/>
    <n v="2"/>
  </r>
  <r>
    <n v="27"/>
    <x v="1"/>
    <s v="Travel_Frequently"/>
    <n v="294"/>
    <x v="1"/>
    <n v="10"/>
    <n v="2"/>
    <s v="Life Sciences"/>
    <n v="1"/>
    <n v="733"/>
    <x v="2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x v="2"/>
    <x v="7"/>
    <n v="7"/>
    <n v="1"/>
    <n v="7"/>
  </r>
  <r>
    <n v="41"/>
    <x v="1"/>
    <s v="Travel_Rarely"/>
    <n v="314"/>
    <x v="2"/>
    <n v="1"/>
    <n v="3"/>
    <s v="Human Resources"/>
    <n v="1"/>
    <n v="734"/>
    <x v="2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x v="1"/>
    <x v="14"/>
    <n v="7"/>
    <n v="2"/>
    <n v="10"/>
  </r>
  <r>
    <n v="50"/>
    <x v="1"/>
    <s v="Travel_Rarely"/>
    <n v="316"/>
    <x v="0"/>
    <n v="8"/>
    <n v="4"/>
    <s v="Marketing"/>
    <n v="1"/>
    <n v="738"/>
    <x v="2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x v="1"/>
    <x v="4"/>
    <n v="2"/>
    <n v="2"/>
    <n v="2"/>
  </r>
  <r>
    <n v="28"/>
    <x v="0"/>
    <s v="Travel_Rarely"/>
    <n v="654"/>
    <x v="1"/>
    <n v="1"/>
    <n v="2"/>
    <s v="Life Sciences"/>
    <n v="1"/>
    <n v="741"/>
    <x v="3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x v="1"/>
    <x v="5"/>
    <n v="7"/>
    <n v="3"/>
    <n v="7"/>
  </r>
  <r>
    <n v="36"/>
    <x v="1"/>
    <s v="Non-Travel"/>
    <n v="427"/>
    <x v="1"/>
    <n v="8"/>
    <n v="3"/>
    <s v="Life Sciences"/>
    <n v="1"/>
    <n v="742"/>
    <x v="3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x v="1"/>
    <x v="3"/>
    <n v="7"/>
    <n v="0"/>
    <n v="5"/>
  </r>
  <r>
    <n v="38"/>
    <x v="1"/>
    <s v="Travel_Rarely"/>
    <n v="168"/>
    <x v="1"/>
    <n v="1"/>
    <n v="3"/>
    <s v="Life Sciences"/>
    <n v="1"/>
    <n v="743"/>
    <x v="1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x v="3"/>
    <x v="6"/>
    <n v="0"/>
    <n v="0"/>
    <n v="0"/>
  </r>
  <r>
    <n v="44"/>
    <x v="1"/>
    <s v="Non-Travel"/>
    <n v="381"/>
    <x v="1"/>
    <n v="24"/>
    <n v="3"/>
    <s v="Medical"/>
    <n v="1"/>
    <n v="744"/>
    <x v="3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x v="1"/>
    <x v="8"/>
    <n v="2"/>
    <n v="1"/>
    <n v="4"/>
  </r>
  <r>
    <n v="47"/>
    <x v="1"/>
    <s v="Travel_Frequently"/>
    <n v="217"/>
    <x v="0"/>
    <n v="3"/>
    <n v="3"/>
    <s v="Medical"/>
    <n v="1"/>
    <n v="746"/>
    <x v="2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x v="2"/>
    <x v="14"/>
    <n v="2"/>
    <n v="11"/>
    <n v="13"/>
  </r>
  <r>
    <n v="30"/>
    <x v="1"/>
    <s v="Travel_Rarely"/>
    <n v="501"/>
    <x v="0"/>
    <n v="27"/>
    <n v="5"/>
    <s v="Marketing"/>
    <n v="1"/>
    <n v="747"/>
    <x v="1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x v="2"/>
    <x v="3"/>
    <n v="7"/>
    <n v="7"/>
    <n v="7"/>
  </r>
  <r>
    <n v="29"/>
    <x v="1"/>
    <s v="Travel_Rarely"/>
    <n v="1396"/>
    <x v="0"/>
    <n v="10"/>
    <n v="3"/>
    <s v="Life Sciences"/>
    <n v="1"/>
    <n v="749"/>
    <x v="1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x v="1"/>
    <x v="6"/>
    <n v="0"/>
    <n v="0"/>
    <n v="0"/>
  </r>
  <r>
    <n v="42"/>
    <x v="0"/>
    <s v="Travel_Frequently"/>
    <n v="933"/>
    <x v="1"/>
    <n v="19"/>
    <n v="3"/>
    <s v="Medical"/>
    <n v="1"/>
    <n v="752"/>
    <x v="1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x v="1"/>
    <x v="4"/>
    <n v="2"/>
    <n v="2"/>
    <n v="2"/>
  </r>
  <r>
    <n v="43"/>
    <x v="1"/>
    <s v="Travel_Frequently"/>
    <n v="775"/>
    <x v="0"/>
    <n v="15"/>
    <n v="3"/>
    <s v="Life Sciences"/>
    <n v="1"/>
    <n v="754"/>
    <x v="2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x v="1"/>
    <x v="4"/>
    <n v="2"/>
    <n v="2"/>
    <n v="2"/>
  </r>
  <r>
    <n v="34"/>
    <x v="1"/>
    <s v="Travel_Rarely"/>
    <n v="970"/>
    <x v="1"/>
    <n v="8"/>
    <n v="2"/>
    <s v="Medical"/>
    <n v="1"/>
    <n v="757"/>
    <x v="0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x v="1"/>
    <x v="8"/>
    <n v="1"/>
    <n v="4"/>
    <n v="3"/>
  </r>
  <r>
    <n v="23"/>
    <x v="1"/>
    <s v="Travel_Rarely"/>
    <n v="650"/>
    <x v="1"/>
    <n v="9"/>
    <n v="1"/>
    <s v="Medical"/>
    <n v="1"/>
    <n v="758"/>
    <x v="0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x v="3"/>
    <x v="9"/>
    <n v="3"/>
    <n v="0"/>
    <n v="2"/>
  </r>
  <r>
    <n v="39"/>
    <x v="1"/>
    <s v="Travel_Rarely"/>
    <n v="141"/>
    <x v="2"/>
    <n v="3"/>
    <n v="3"/>
    <s v="Human Resources"/>
    <n v="1"/>
    <n v="760"/>
    <x v="1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x v="0"/>
    <x v="3"/>
    <n v="3"/>
    <n v="3"/>
    <n v="6"/>
  </r>
  <r>
    <n v="56"/>
    <x v="1"/>
    <s v="Travel_Rarely"/>
    <n v="832"/>
    <x v="1"/>
    <n v="9"/>
    <n v="3"/>
    <s v="Medical"/>
    <n v="1"/>
    <n v="762"/>
    <x v="1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x v="2"/>
    <x v="1"/>
    <n v="7"/>
    <n v="1"/>
    <n v="1"/>
  </r>
  <r>
    <n v="40"/>
    <x v="1"/>
    <s v="Travel_Rarely"/>
    <n v="804"/>
    <x v="1"/>
    <n v="2"/>
    <n v="1"/>
    <s v="Medical"/>
    <n v="1"/>
    <n v="763"/>
    <x v="2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x v="2"/>
    <x v="9"/>
    <n v="2"/>
    <n v="2"/>
    <n v="3"/>
  </r>
  <r>
    <n v="27"/>
    <x v="1"/>
    <s v="Travel_Rarely"/>
    <n v="975"/>
    <x v="1"/>
    <n v="7"/>
    <n v="3"/>
    <s v="Medical"/>
    <n v="1"/>
    <n v="764"/>
    <x v="2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x v="0"/>
    <x v="5"/>
    <n v="6"/>
    <n v="0"/>
    <n v="7"/>
  </r>
  <r>
    <n v="29"/>
    <x v="1"/>
    <s v="Travel_Rarely"/>
    <n v="1090"/>
    <x v="0"/>
    <n v="10"/>
    <n v="3"/>
    <s v="Marketing"/>
    <n v="1"/>
    <n v="766"/>
    <x v="2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x v="1"/>
    <x v="4"/>
    <n v="2"/>
    <n v="2"/>
    <n v="2"/>
  </r>
  <r>
    <n v="53"/>
    <x v="1"/>
    <s v="Travel_Rarely"/>
    <n v="346"/>
    <x v="1"/>
    <n v="6"/>
    <n v="3"/>
    <s v="Life Sciences"/>
    <n v="1"/>
    <n v="769"/>
    <x v="2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x v="1"/>
    <x v="4"/>
    <n v="2"/>
    <n v="2"/>
    <n v="2"/>
  </r>
  <r>
    <n v="35"/>
    <x v="1"/>
    <s v="Non-Travel"/>
    <n v="1225"/>
    <x v="1"/>
    <n v="2"/>
    <n v="4"/>
    <s v="Life Sciences"/>
    <n v="1"/>
    <n v="771"/>
    <x v="2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x v="3"/>
    <x v="6"/>
    <n v="0"/>
    <n v="0"/>
    <n v="0"/>
  </r>
  <r>
    <n v="32"/>
    <x v="1"/>
    <s v="Travel_Frequently"/>
    <n v="430"/>
    <x v="1"/>
    <n v="24"/>
    <n v="4"/>
    <s v="Life Sciences"/>
    <n v="1"/>
    <n v="772"/>
    <x v="3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x v="1"/>
    <x v="1"/>
    <n v="8"/>
    <n v="4"/>
    <n v="7"/>
  </r>
  <r>
    <n v="38"/>
    <x v="1"/>
    <s v="Travel_Rarely"/>
    <n v="268"/>
    <x v="1"/>
    <n v="2"/>
    <n v="5"/>
    <s v="Medical"/>
    <n v="1"/>
    <n v="773"/>
    <x v="2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x v="0"/>
    <x v="6"/>
    <n v="0"/>
    <n v="0"/>
    <n v="1"/>
  </r>
  <r>
    <n v="34"/>
    <x v="1"/>
    <s v="Travel_Rarely"/>
    <n v="167"/>
    <x v="1"/>
    <n v="8"/>
    <n v="5"/>
    <s v="Life Sciences"/>
    <n v="1"/>
    <n v="775"/>
    <x v="0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x v="1"/>
    <x v="2"/>
    <n v="0"/>
    <n v="0"/>
    <n v="0"/>
  </r>
  <r>
    <n v="52"/>
    <x v="1"/>
    <s v="Travel_Rarely"/>
    <n v="621"/>
    <x v="0"/>
    <n v="3"/>
    <n v="4"/>
    <s v="Marketing"/>
    <n v="1"/>
    <n v="776"/>
    <x v="1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x v="3"/>
    <x v="33"/>
    <n v="6"/>
    <n v="1"/>
    <n v="16"/>
  </r>
  <r>
    <n v="33"/>
    <x v="0"/>
    <s v="Travel_Rarely"/>
    <n v="527"/>
    <x v="1"/>
    <n v="1"/>
    <n v="4"/>
    <s v="Other"/>
    <n v="1"/>
    <n v="780"/>
    <x v="2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x v="2"/>
    <x v="1"/>
    <n v="9"/>
    <n v="7"/>
    <n v="8"/>
  </r>
  <r>
    <n v="25"/>
    <x v="1"/>
    <s v="Travel_Rarely"/>
    <n v="883"/>
    <x v="0"/>
    <n v="26"/>
    <n v="1"/>
    <s v="Medical"/>
    <n v="1"/>
    <n v="781"/>
    <x v="1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x v="2"/>
    <x v="0"/>
    <n v="5"/>
    <n v="1"/>
    <n v="4"/>
  </r>
  <r>
    <n v="45"/>
    <x v="1"/>
    <s v="Travel_Rarely"/>
    <n v="954"/>
    <x v="0"/>
    <n v="2"/>
    <n v="2"/>
    <s v="Technical Degree"/>
    <n v="1"/>
    <n v="783"/>
    <x v="0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x v="1"/>
    <x v="3"/>
    <n v="7"/>
    <n v="3"/>
    <n v="1"/>
  </r>
  <r>
    <n v="23"/>
    <x v="1"/>
    <s v="Travel_Rarely"/>
    <n v="310"/>
    <x v="1"/>
    <n v="10"/>
    <n v="1"/>
    <s v="Medical"/>
    <n v="1"/>
    <n v="784"/>
    <x v="3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x v="1"/>
    <x v="4"/>
    <n v="2"/>
    <n v="0"/>
    <n v="2"/>
  </r>
  <r>
    <n v="47"/>
    <x v="0"/>
    <s v="Travel_Frequently"/>
    <n v="719"/>
    <x v="0"/>
    <n v="27"/>
    <n v="2"/>
    <s v="Life Sciences"/>
    <n v="1"/>
    <n v="785"/>
    <x v="0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x v="1"/>
    <x v="8"/>
    <n v="4"/>
    <n v="1"/>
    <n v="3"/>
  </r>
  <r>
    <n v="34"/>
    <x v="1"/>
    <s v="Travel_Rarely"/>
    <n v="304"/>
    <x v="0"/>
    <n v="2"/>
    <n v="3"/>
    <s v="Other"/>
    <n v="1"/>
    <n v="786"/>
    <x v="2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x v="1"/>
    <x v="0"/>
    <n v="5"/>
    <n v="1"/>
    <n v="4"/>
  </r>
  <r>
    <n v="55"/>
    <x v="0"/>
    <s v="Travel_Rarely"/>
    <n v="725"/>
    <x v="1"/>
    <n v="2"/>
    <n v="3"/>
    <s v="Medical"/>
    <n v="1"/>
    <n v="787"/>
    <x v="2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x v="1"/>
    <x v="8"/>
    <n v="2"/>
    <n v="1"/>
    <n v="4"/>
  </r>
  <r>
    <n v="36"/>
    <x v="1"/>
    <s v="Non-Travel"/>
    <n v="1434"/>
    <x v="0"/>
    <n v="8"/>
    <n v="4"/>
    <s v="Life Sciences"/>
    <n v="1"/>
    <n v="789"/>
    <x v="3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x v="1"/>
    <x v="1"/>
    <n v="7"/>
    <n v="0"/>
    <n v="9"/>
  </r>
  <r>
    <n v="52"/>
    <x v="1"/>
    <s v="Non-Travel"/>
    <n v="715"/>
    <x v="1"/>
    <n v="19"/>
    <n v="4"/>
    <s v="Medical"/>
    <n v="1"/>
    <n v="791"/>
    <x v="2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x v="1"/>
    <x v="9"/>
    <n v="3"/>
    <n v="1"/>
    <n v="2"/>
  </r>
  <r>
    <n v="26"/>
    <x v="1"/>
    <s v="Travel_Frequently"/>
    <n v="575"/>
    <x v="1"/>
    <n v="1"/>
    <n v="2"/>
    <s v="Life Sciences"/>
    <n v="1"/>
    <n v="792"/>
    <x v="3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x v="1"/>
    <x v="4"/>
    <n v="2"/>
    <n v="2"/>
    <n v="0"/>
  </r>
  <r>
    <n v="29"/>
    <x v="1"/>
    <s v="Travel_Rarely"/>
    <n v="657"/>
    <x v="1"/>
    <n v="27"/>
    <n v="3"/>
    <s v="Medical"/>
    <n v="1"/>
    <n v="793"/>
    <x v="0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x v="2"/>
    <x v="3"/>
    <n v="7"/>
    <n v="1"/>
    <n v="1"/>
  </r>
  <r>
    <n v="26"/>
    <x v="0"/>
    <s v="Travel_Rarely"/>
    <n v="1146"/>
    <x v="0"/>
    <n v="8"/>
    <n v="3"/>
    <s v="Technical Degree"/>
    <n v="1"/>
    <n v="796"/>
    <x v="2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x v="2"/>
    <x v="9"/>
    <n v="3"/>
    <n v="1"/>
    <n v="2"/>
  </r>
  <r>
    <n v="34"/>
    <x v="1"/>
    <s v="Travel_Rarely"/>
    <n v="182"/>
    <x v="1"/>
    <n v="1"/>
    <n v="4"/>
    <s v="Life Sciences"/>
    <n v="1"/>
    <n v="797"/>
    <x v="0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x v="1"/>
    <x v="9"/>
    <n v="2"/>
    <n v="1"/>
    <n v="3"/>
  </r>
  <r>
    <n v="54"/>
    <x v="1"/>
    <s v="Travel_Rarely"/>
    <n v="376"/>
    <x v="1"/>
    <n v="19"/>
    <n v="4"/>
    <s v="Medical"/>
    <n v="1"/>
    <n v="799"/>
    <x v="2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x v="1"/>
    <x v="8"/>
    <n v="3"/>
    <n v="1"/>
    <n v="4"/>
  </r>
  <r>
    <n v="27"/>
    <x v="1"/>
    <s v="Travel_Frequently"/>
    <n v="829"/>
    <x v="0"/>
    <n v="8"/>
    <n v="1"/>
    <s v="Marketing"/>
    <n v="1"/>
    <n v="800"/>
    <x v="1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x v="1"/>
    <x v="9"/>
    <n v="2"/>
    <n v="1"/>
    <n v="1"/>
  </r>
  <r>
    <n v="37"/>
    <x v="1"/>
    <s v="Travel_Rarely"/>
    <n v="571"/>
    <x v="1"/>
    <n v="10"/>
    <n v="1"/>
    <s v="Life Sciences"/>
    <n v="1"/>
    <n v="802"/>
    <x v="2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x v="2"/>
    <x v="8"/>
    <n v="3"/>
    <n v="4"/>
    <n v="3"/>
  </r>
  <r>
    <n v="38"/>
    <x v="1"/>
    <s v="Travel_Frequently"/>
    <n v="240"/>
    <x v="1"/>
    <n v="2"/>
    <n v="4"/>
    <s v="Life Sciences"/>
    <n v="1"/>
    <n v="803"/>
    <x v="3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x v="1"/>
    <x v="15"/>
    <n v="7"/>
    <n v="4"/>
    <n v="12"/>
  </r>
  <r>
    <n v="34"/>
    <x v="1"/>
    <s v="Travel_Rarely"/>
    <n v="121"/>
    <x v="1"/>
    <n v="2"/>
    <n v="4"/>
    <s v="Medical"/>
    <n v="1"/>
    <n v="804"/>
    <x v="1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x v="1"/>
    <x v="0"/>
    <n v="5"/>
    <n v="1"/>
    <n v="3"/>
  </r>
  <r>
    <n v="35"/>
    <x v="1"/>
    <s v="Travel_Rarely"/>
    <n v="384"/>
    <x v="0"/>
    <n v="8"/>
    <n v="4"/>
    <s v="Life Sciences"/>
    <n v="1"/>
    <n v="805"/>
    <x v="3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x v="2"/>
    <x v="11"/>
    <n v="2"/>
    <n v="0"/>
    <n v="2"/>
  </r>
  <r>
    <n v="30"/>
    <x v="1"/>
    <s v="Travel_Rarely"/>
    <n v="921"/>
    <x v="1"/>
    <n v="1"/>
    <n v="3"/>
    <s v="Life Sciences"/>
    <n v="1"/>
    <n v="806"/>
    <x v="2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x v="1"/>
    <x v="4"/>
    <n v="2"/>
    <n v="0"/>
    <n v="2"/>
  </r>
  <r>
    <n v="40"/>
    <x v="1"/>
    <s v="Travel_Frequently"/>
    <n v="791"/>
    <x v="1"/>
    <n v="2"/>
    <n v="2"/>
    <s v="Medical"/>
    <n v="1"/>
    <n v="807"/>
    <x v="1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x v="1"/>
    <x v="3"/>
    <n v="7"/>
    <n v="3"/>
    <n v="7"/>
  </r>
  <r>
    <n v="34"/>
    <x v="1"/>
    <s v="Travel_Rarely"/>
    <n v="1111"/>
    <x v="0"/>
    <n v="8"/>
    <n v="2"/>
    <s v="Life Sciences"/>
    <n v="1"/>
    <n v="808"/>
    <x v="1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x v="1"/>
    <x v="11"/>
    <n v="2"/>
    <n v="1"/>
    <n v="2"/>
  </r>
  <r>
    <n v="42"/>
    <x v="1"/>
    <s v="Travel_Frequently"/>
    <n v="570"/>
    <x v="1"/>
    <n v="8"/>
    <n v="3"/>
    <s v="Life Sciences"/>
    <n v="1"/>
    <n v="809"/>
    <x v="0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x v="2"/>
    <x v="25"/>
    <n v="7"/>
    <n v="14"/>
    <n v="9"/>
  </r>
  <r>
    <n v="23"/>
    <x v="0"/>
    <s v="Travel_Rarely"/>
    <n v="1243"/>
    <x v="1"/>
    <n v="6"/>
    <n v="3"/>
    <s v="Life Sciences"/>
    <n v="1"/>
    <n v="811"/>
    <x v="1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x v="1"/>
    <x v="2"/>
    <n v="0"/>
    <n v="0"/>
    <n v="0"/>
  </r>
  <r>
    <n v="24"/>
    <x v="1"/>
    <s v="Non-Travel"/>
    <n v="1092"/>
    <x v="1"/>
    <n v="9"/>
    <n v="3"/>
    <s v="Life Sciences"/>
    <n v="1"/>
    <n v="812"/>
    <x v="1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x v="1"/>
    <x v="6"/>
    <n v="0"/>
    <n v="0"/>
    <n v="0"/>
  </r>
  <r>
    <n v="52"/>
    <x v="1"/>
    <s v="Travel_Rarely"/>
    <n v="1325"/>
    <x v="1"/>
    <n v="11"/>
    <n v="4"/>
    <s v="Life Sciences"/>
    <n v="1"/>
    <n v="813"/>
    <x v="2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x v="1"/>
    <x v="8"/>
    <n v="2"/>
    <n v="1"/>
    <n v="4"/>
  </r>
  <r>
    <n v="50"/>
    <x v="1"/>
    <s v="Travel_Rarely"/>
    <n v="691"/>
    <x v="1"/>
    <n v="2"/>
    <n v="3"/>
    <s v="Medical"/>
    <n v="1"/>
    <n v="815"/>
    <x v="1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x v="1"/>
    <x v="9"/>
    <n v="3"/>
    <n v="0"/>
    <n v="3"/>
  </r>
  <r>
    <n v="29"/>
    <x v="0"/>
    <s v="Travel_Rarely"/>
    <n v="805"/>
    <x v="1"/>
    <n v="1"/>
    <n v="2"/>
    <s v="Life Sciences"/>
    <n v="1"/>
    <n v="816"/>
    <x v="0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x v="1"/>
    <x v="6"/>
    <n v="0"/>
    <n v="0"/>
    <n v="0"/>
  </r>
  <r>
    <n v="33"/>
    <x v="1"/>
    <s v="Travel_Rarely"/>
    <n v="213"/>
    <x v="1"/>
    <n v="7"/>
    <n v="3"/>
    <s v="Medical"/>
    <n v="1"/>
    <n v="817"/>
    <x v="1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x v="3"/>
    <x v="20"/>
    <n v="9"/>
    <n v="3"/>
    <n v="7"/>
  </r>
  <r>
    <n v="33"/>
    <x v="0"/>
    <s v="Travel_Rarely"/>
    <n v="118"/>
    <x v="0"/>
    <n v="16"/>
    <n v="3"/>
    <s v="Marketing"/>
    <n v="1"/>
    <n v="819"/>
    <x v="3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x v="1"/>
    <x v="11"/>
    <n v="2"/>
    <n v="0"/>
    <n v="2"/>
  </r>
  <r>
    <n v="47"/>
    <x v="1"/>
    <s v="Travel_Rarely"/>
    <n v="202"/>
    <x v="1"/>
    <n v="2"/>
    <n v="2"/>
    <s v="Other"/>
    <n v="1"/>
    <n v="820"/>
    <x v="1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x v="2"/>
    <x v="34"/>
    <n v="14"/>
    <n v="3"/>
    <n v="0"/>
  </r>
  <r>
    <n v="36"/>
    <x v="1"/>
    <s v="Travel_Rarely"/>
    <n v="676"/>
    <x v="1"/>
    <n v="1"/>
    <n v="3"/>
    <s v="Other"/>
    <n v="1"/>
    <n v="823"/>
    <x v="1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x v="1"/>
    <x v="7"/>
    <n v="7"/>
    <n v="0"/>
    <n v="5"/>
  </r>
  <r>
    <n v="29"/>
    <x v="1"/>
    <s v="Travel_Rarely"/>
    <n v="1252"/>
    <x v="1"/>
    <n v="23"/>
    <n v="2"/>
    <s v="Life Sciences"/>
    <n v="1"/>
    <n v="824"/>
    <x v="1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x v="1"/>
    <x v="1"/>
    <n v="7"/>
    <n v="0"/>
    <n v="7"/>
  </r>
  <r>
    <n v="58"/>
    <x v="0"/>
    <s v="Travel_Rarely"/>
    <n v="286"/>
    <x v="1"/>
    <n v="2"/>
    <n v="4"/>
    <s v="Life Sciences"/>
    <n v="1"/>
    <n v="825"/>
    <x v="2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x v="1"/>
    <x v="31"/>
    <n v="15"/>
    <n v="13"/>
    <n v="8"/>
  </r>
  <r>
    <n v="35"/>
    <x v="1"/>
    <s v="Travel_Rarely"/>
    <n v="1258"/>
    <x v="1"/>
    <n v="1"/>
    <n v="4"/>
    <s v="Life Sciences"/>
    <n v="1"/>
    <n v="826"/>
    <x v="2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x v="1"/>
    <x v="4"/>
    <n v="2"/>
    <n v="2"/>
    <n v="2"/>
  </r>
  <r>
    <n v="42"/>
    <x v="1"/>
    <s v="Travel_Rarely"/>
    <n v="932"/>
    <x v="1"/>
    <n v="1"/>
    <n v="2"/>
    <s v="Life Sciences"/>
    <n v="1"/>
    <n v="827"/>
    <x v="2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x v="1"/>
    <x v="9"/>
    <n v="3"/>
    <n v="0"/>
    <n v="2"/>
  </r>
  <r>
    <n v="28"/>
    <x v="0"/>
    <s v="Travel_Rarely"/>
    <n v="890"/>
    <x v="1"/>
    <n v="2"/>
    <n v="4"/>
    <s v="Medical"/>
    <n v="1"/>
    <n v="828"/>
    <x v="1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x v="2"/>
    <x v="4"/>
    <n v="2"/>
    <n v="2"/>
    <n v="1"/>
  </r>
  <r>
    <n v="36"/>
    <x v="1"/>
    <s v="Travel_Rarely"/>
    <n v="1041"/>
    <x v="2"/>
    <n v="13"/>
    <n v="3"/>
    <s v="Human Resources"/>
    <n v="1"/>
    <n v="829"/>
    <x v="1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x v="1"/>
    <x v="8"/>
    <n v="2"/>
    <n v="0"/>
    <n v="4"/>
  </r>
  <r>
    <n v="32"/>
    <x v="1"/>
    <s v="Travel_Rarely"/>
    <n v="859"/>
    <x v="1"/>
    <n v="4"/>
    <n v="3"/>
    <s v="Life Sciences"/>
    <n v="1"/>
    <n v="830"/>
    <x v="1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x v="1"/>
    <x v="13"/>
    <n v="13"/>
    <n v="6"/>
    <n v="8"/>
  </r>
  <r>
    <n v="40"/>
    <x v="1"/>
    <s v="Travel_Frequently"/>
    <n v="720"/>
    <x v="1"/>
    <n v="16"/>
    <n v="4"/>
    <s v="Medical"/>
    <n v="1"/>
    <n v="832"/>
    <x v="3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x v="1"/>
    <x v="6"/>
    <n v="0"/>
    <n v="0"/>
    <n v="0"/>
  </r>
  <r>
    <n v="30"/>
    <x v="1"/>
    <s v="Travel_Rarely"/>
    <n v="946"/>
    <x v="1"/>
    <n v="2"/>
    <n v="3"/>
    <s v="Medical"/>
    <n v="1"/>
    <n v="833"/>
    <x v="1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x v="2"/>
    <x v="2"/>
    <n v="0"/>
    <n v="0"/>
    <n v="0"/>
  </r>
  <r>
    <n v="45"/>
    <x v="1"/>
    <s v="Travel_Rarely"/>
    <n v="252"/>
    <x v="1"/>
    <n v="2"/>
    <n v="3"/>
    <s v="Life Sciences"/>
    <n v="1"/>
    <n v="834"/>
    <x v="0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x v="1"/>
    <x v="6"/>
    <n v="0"/>
    <n v="0"/>
    <n v="0"/>
  </r>
  <r>
    <n v="42"/>
    <x v="1"/>
    <s v="Travel_Rarely"/>
    <n v="933"/>
    <x v="1"/>
    <n v="29"/>
    <n v="3"/>
    <s v="Life Sciences"/>
    <n v="1"/>
    <n v="836"/>
    <x v="0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x v="2"/>
    <x v="7"/>
    <n v="8"/>
    <n v="7"/>
    <n v="8"/>
  </r>
  <r>
    <n v="38"/>
    <x v="1"/>
    <s v="Travel_Frequently"/>
    <n v="471"/>
    <x v="1"/>
    <n v="12"/>
    <n v="3"/>
    <s v="Life Sciences"/>
    <n v="1"/>
    <n v="837"/>
    <x v="3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x v="2"/>
    <x v="9"/>
    <n v="3"/>
    <n v="1"/>
    <n v="2"/>
  </r>
  <r>
    <n v="34"/>
    <x v="1"/>
    <s v="Travel_Frequently"/>
    <n v="702"/>
    <x v="1"/>
    <n v="16"/>
    <n v="4"/>
    <s v="Life Sciences"/>
    <n v="1"/>
    <n v="838"/>
    <x v="1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x v="1"/>
    <x v="8"/>
    <n v="2"/>
    <n v="1"/>
    <n v="3"/>
  </r>
  <r>
    <n v="49"/>
    <x v="0"/>
    <s v="Travel_Rarely"/>
    <n v="1184"/>
    <x v="0"/>
    <n v="11"/>
    <n v="3"/>
    <s v="Marketing"/>
    <n v="1"/>
    <n v="840"/>
    <x v="1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x v="3"/>
    <x v="7"/>
    <n v="8"/>
    <n v="7"/>
    <n v="7"/>
  </r>
  <r>
    <n v="55"/>
    <x v="0"/>
    <s v="Travel_Rarely"/>
    <n v="436"/>
    <x v="0"/>
    <n v="2"/>
    <n v="1"/>
    <s v="Medical"/>
    <n v="1"/>
    <n v="842"/>
    <x v="1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x v="2"/>
    <x v="7"/>
    <n v="7"/>
    <n v="7"/>
    <n v="3"/>
  </r>
  <r>
    <n v="43"/>
    <x v="1"/>
    <s v="Travel_Rarely"/>
    <n v="589"/>
    <x v="1"/>
    <n v="14"/>
    <n v="2"/>
    <s v="Life Sciences"/>
    <n v="1"/>
    <n v="843"/>
    <x v="0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x v="1"/>
    <x v="9"/>
    <n v="1"/>
    <n v="1"/>
    <n v="0"/>
  </r>
  <r>
    <n v="27"/>
    <x v="1"/>
    <s v="Travel_Rarely"/>
    <n v="269"/>
    <x v="1"/>
    <n v="5"/>
    <n v="1"/>
    <s v="Technical Degree"/>
    <n v="1"/>
    <n v="844"/>
    <x v="1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x v="1"/>
    <x v="7"/>
    <n v="8"/>
    <n v="0"/>
    <n v="8"/>
  </r>
  <r>
    <n v="35"/>
    <x v="1"/>
    <s v="Travel_Rarely"/>
    <n v="950"/>
    <x v="1"/>
    <n v="7"/>
    <n v="3"/>
    <s v="Other"/>
    <n v="1"/>
    <n v="845"/>
    <x v="1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x v="3"/>
    <x v="3"/>
    <n v="5"/>
    <n v="1"/>
    <n v="6"/>
  </r>
  <r>
    <n v="28"/>
    <x v="1"/>
    <s v="Travel_Rarely"/>
    <n v="760"/>
    <x v="0"/>
    <n v="2"/>
    <n v="4"/>
    <s v="Marketing"/>
    <n v="1"/>
    <n v="846"/>
    <x v="0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x v="1"/>
    <x v="3"/>
    <n v="7"/>
    <n v="7"/>
    <n v="5"/>
  </r>
  <r>
    <n v="34"/>
    <x v="1"/>
    <s v="Travel_Rarely"/>
    <n v="829"/>
    <x v="2"/>
    <n v="3"/>
    <n v="2"/>
    <s v="Human Resources"/>
    <n v="1"/>
    <n v="847"/>
    <x v="1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x v="0"/>
    <x v="11"/>
    <n v="2"/>
    <n v="0"/>
    <n v="2"/>
  </r>
  <r>
    <n v="26"/>
    <x v="0"/>
    <s v="Travel_Frequently"/>
    <n v="887"/>
    <x v="1"/>
    <n v="5"/>
    <n v="2"/>
    <s v="Medical"/>
    <n v="1"/>
    <n v="848"/>
    <x v="1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x v="1"/>
    <x v="3"/>
    <n v="7"/>
    <n v="1"/>
    <n v="7"/>
  </r>
  <r>
    <n v="27"/>
    <x v="1"/>
    <s v="Non-Travel"/>
    <n v="443"/>
    <x v="1"/>
    <n v="3"/>
    <n v="3"/>
    <s v="Medical"/>
    <n v="1"/>
    <n v="850"/>
    <x v="2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x v="2"/>
    <x v="2"/>
    <n v="0"/>
    <n v="0"/>
    <n v="0"/>
  </r>
  <r>
    <n v="51"/>
    <x v="1"/>
    <s v="Travel_Rarely"/>
    <n v="1318"/>
    <x v="0"/>
    <n v="26"/>
    <n v="4"/>
    <s v="Marketing"/>
    <n v="1"/>
    <n v="851"/>
    <x v="3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x v="2"/>
    <x v="23"/>
    <n v="6"/>
    <n v="4"/>
    <n v="17"/>
  </r>
  <r>
    <n v="44"/>
    <x v="1"/>
    <s v="Travel_Rarely"/>
    <n v="625"/>
    <x v="1"/>
    <n v="4"/>
    <n v="3"/>
    <s v="Medical"/>
    <n v="1"/>
    <n v="852"/>
    <x v="2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x v="2"/>
    <x v="8"/>
    <n v="2"/>
    <n v="2"/>
    <n v="3"/>
  </r>
  <r>
    <n v="25"/>
    <x v="1"/>
    <s v="Travel_Rarely"/>
    <n v="180"/>
    <x v="1"/>
    <n v="2"/>
    <n v="1"/>
    <s v="Medical"/>
    <n v="1"/>
    <n v="854"/>
    <x v="3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x v="2"/>
    <x v="9"/>
    <n v="3"/>
    <n v="0"/>
    <n v="1"/>
  </r>
  <r>
    <n v="33"/>
    <x v="1"/>
    <s v="Travel_Rarely"/>
    <n v="586"/>
    <x v="0"/>
    <n v="1"/>
    <n v="3"/>
    <s v="Medical"/>
    <n v="1"/>
    <n v="855"/>
    <x v="3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x v="1"/>
    <x v="7"/>
    <n v="8"/>
    <n v="0"/>
    <n v="8"/>
  </r>
  <r>
    <n v="35"/>
    <x v="1"/>
    <s v="Travel_Rarely"/>
    <n v="1343"/>
    <x v="1"/>
    <n v="27"/>
    <n v="1"/>
    <s v="Medical"/>
    <n v="1"/>
    <n v="856"/>
    <x v="1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x v="2"/>
    <x v="0"/>
    <n v="5"/>
    <n v="1"/>
    <n v="1"/>
  </r>
  <r>
    <n v="36"/>
    <x v="1"/>
    <s v="Travel_Rarely"/>
    <n v="928"/>
    <x v="0"/>
    <n v="1"/>
    <n v="2"/>
    <s v="Life Sciences"/>
    <n v="1"/>
    <n v="857"/>
    <x v="0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x v="2"/>
    <x v="29"/>
    <n v="14"/>
    <n v="4"/>
    <n v="11"/>
  </r>
  <r>
    <n v="32"/>
    <x v="1"/>
    <s v="Travel_Rarely"/>
    <n v="117"/>
    <x v="0"/>
    <n v="13"/>
    <n v="4"/>
    <s v="Life Sciences"/>
    <n v="1"/>
    <n v="859"/>
    <x v="0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x v="2"/>
    <x v="8"/>
    <n v="2"/>
    <n v="0"/>
    <n v="3"/>
  </r>
  <r>
    <n v="30"/>
    <x v="1"/>
    <s v="Travel_Frequently"/>
    <n v="1012"/>
    <x v="1"/>
    <n v="5"/>
    <n v="4"/>
    <s v="Life Sciences"/>
    <n v="1"/>
    <n v="861"/>
    <x v="0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x v="2"/>
    <x v="8"/>
    <n v="4"/>
    <n v="0"/>
    <n v="3"/>
  </r>
  <r>
    <n v="53"/>
    <x v="1"/>
    <s v="Travel_Rarely"/>
    <n v="661"/>
    <x v="0"/>
    <n v="7"/>
    <n v="2"/>
    <s v="Marketing"/>
    <n v="1"/>
    <n v="862"/>
    <x v="3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x v="1"/>
    <x v="8"/>
    <n v="2"/>
    <n v="0"/>
    <n v="4"/>
  </r>
  <r>
    <n v="45"/>
    <x v="1"/>
    <s v="Travel_Rarely"/>
    <n v="930"/>
    <x v="0"/>
    <n v="9"/>
    <n v="3"/>
    <s v="Marketing"/>
    <n v="1"/>
    <n v="864"/>
    <x v="2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x v="1"/>
    <x v="8"/>
    <n v="4"/>
    <n v="0"/>
    <n v="2"/>
  </r>
  <r>
    <n v="32"/>
    <x v="1"/>
    <s v="Travel_Rarely"/>
    <n v="638"/>
    <x v="1"/>
    <n v="8"/>
    <n v="2"/>
    <s v="Medical"/>
    <n v="1"/>
    <n v="865"/>
    <x v="1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x v="2"/>
    <x v="8"/>
    <n v="3"/>
    <n v="1"/>
    <n v="3"/>
  </r>
  <r>
    <n v="52"/>
    <x v="1"/>
    <s v="Travel_Frequently"/>
    <n v="890"/>
    <x v="1"/>
    <n v="25"/>
    <n v="4"/>
    <s v="Medical"/>
    <n v="1"/>
    <n v="867"/>
    <x v="1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x v="1"/>
    <x v="7"/>
    <n v="8"/>
    <n v="0"/>
    <n v="0"/>
  </r>
  <r>
    <n v="37"/>
    <x v="1"/>
    <s v="Travel_Rarely"/>
    <n v="342"/>
    <x v="0"/>
    <n v="16"/>
    <n v="4"/>
    <s v="Marketing"/>
    <n v="1"/>
    <n v="868"/>
    <x v="2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x v="1"/>
    <x v="6"/>
    <n v="0"/>
    <n v="0"/>
    <n v="0"/>
  </r>
  <r>
    <n v="28"/>
    <x v="1"/>
    <s v="Travel_Rarely"/>
    <n v="1169"/>
    <x v="2"/>
    <n v="8"/>
    <n v="2"/>
    <s v="Medical"/>
    <n v="1"/>
    <n v="869"/>
    <x v="0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x v="1"/>
    <x v="8"/>
    <n v="1"/>
    <n v="0"/>
    <n v="4"/>
  </r>
  <r>
    <n v="22"/>
    <x v="1"/>
    <s v="Travel_Rarely"/>
    <n v="1230"/>
    <x v="1"/>
    <n v="1"/>
    <n v="2"/>
    <s v="Life Sciences"/>
    <n v="1"/>
    <n v="872"/>
    <x v="2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x v="0"/>
    <x v="4"/>
    <n v="2"/>
    <n v="2"/>
    <n v="2"/>
  </r>
  <r>
    <n v="44"/>
    <x v="1"/>
    <s v="Travel_Rarely"/>
    <n v="986"/>
    <x v="1"/>
    <n v="8"/>
    <n v="4"/>
    <s v="Life Sciences"/>
    <n v="1"/>
    <n v="874"/>
    <x v="3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x v="2"/>
    <x v="11"/>
    <n v="2"/>
    <n v="0"/>
    <n v="2"/>
  </r>
  <r>
    <n v="42"/>
    <x v="1"/>
    <s v="Travel_Frequently"/>
    <n v="1271"/>
    <x v="1"/>
    <n v="2"/>
    <n v="1"/>
    <s v="Medical"/>
    <n v="1"/>
    <n v="875"/>
    <x v="0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x v="1"/>
    <x v="4"/>
    <n v="1"/>
    <n v="2"/>
    <n v="2"/>
  </r>
  <r>
    <n v="36"/>
    <x v="1"/>
    <s v="Travel_Rarely"/>
    <n v="1278"/>
    <x v="2"/>
    <n v="8"/>
    <n v="3"/>
    <s v="Life Sciences"/>
    <n v="1"/>
    <n v="878"/>
    <x v="3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x v="1"/>
    <x v="8"/>
    <n v="4"/>
    <n v="0"/>
    <n v="3"/>
  </r>
  <r>
    <n v="25"/>
    <x v="1"/>
    <s v="Travel_Rarely"/>
    <n v="141"/>
    <x v="0"/>
    <n v="3"/>
    <n v="1"/>
    <s v="Other"/>
    <n v="1"/>
    <n v="879"/>
    <x v="1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x v="1"/>
    <x v="8"/>
    <n v="3"/>
    <n v="0"/>
    <n v="3"/>
  </r>
  <r>
    <n v="35"/>
    <x v="1"/>
    <s v="Travel_Rarely"/>
    <n v="607"/>
    <x v="1"/>
    <n v="9"/>
    <n v="3"/>
    <s v="Life Sciences"/>
    <n v="1"/>
    <n v="880"/>
    <x v="2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x v="1"/>
    <x v="18"/>
    <n v="14"/>
    <n v="5"/>
    <n v="15"/>
  </r>
  <r>
    <n v="35"/>
    <x v="0"/>
    <s v="Travel_Frequently"/>
    <n v="130"/>
    <x v="1"/>
    <n v="25"/>
    <n v="4"/>
    <s v="Life Sciences"/>
    <n v="1"/>
    <n v="881"/>
    <x v="2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x v="2"/>
    <x v="1"/>
    <n v="2"/>
    <n v="7"/>
    <n v="8"/>
  </r>
  <r>
    <n v="32"/>
    <x v="1"/>
    <s v="Non-Travel"/>
    <n v="300"/>
    <x v="1"/>
    <n v="1"/>
    <n v="3"/>
    <s v="Life Sciences"/>
    <n v="1"/>
    <n v="882"/>
    <x v="2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x v="1"/>
    <x v="11"/>
    <n v="0"/>
    <n v="0"/>
    <n v="2"/>
  </r>
  <r>
    <n v="25"/>
    <x v="1"/>
    <s v="Travel_Rarely"/>
    <n v="583"/>
    <x v="0"/>
    <n v="4"/>
    <n v="1"/>
    <s v="Marketing"/>
    <n v="1"/>
    <n v="885"/>
    <x v="1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x v="3"/>
    <x v="8"/>
    <n v="2"/>
    <n v="0"/>
    <n v="3"/>
  </r>
  <r>
    <n v="49"/>
    <x v="1"/>
    <s v="Travel_Rarely"/>
    <n v="1418"/>
    <x v="1"/>
    <n v="1"/>
    <n v="3"/>
    <s v="Technical Degree"/>
    <n v="1"/>
    <n v="887"/>
    <x v="1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x v="1"/>
    <x v="9"/>
    <n v="2"/>
    <n v="0"/>
    <n v="2"/>
  </r>
  <r>
    <n v="24"/>
    <x v="1"/>
    <s v="Non-Travel"/>
    <n v="1269"/>
    <x v="1"/>
    <n v="4"/>
    <n v="1"/>
    <s v="Life Sciences"/>
    <n v="1"/>
    <n v="888"/>
    <x v="3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x v="2"/>
    <x v="8"/>
    <n v="2"/>
    <n v="3"/>
    <n v="4"/>
  </r>
  <r>
    <n v="32"/>
    <x v="1"/>
    <s v="Travel_Frequently"/>
    <n v="379"/>
    <x v="0"/>
    <n v="5"/>
    <n v="2"/>
    <s v="Life Sciences"/>
    <n v="1"/>
    <n v="889"/>
    <x v="0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x v="1"/>
    <x v="1"/>
    <n v="8"/>
    <n v="5"/>
    <n v="3"/>
  </r>
  <r>
    <n v="38"/>
    <x v="1"/>
    <s v="Travel_Rarely"/>
    <n v="395"/>
    <x v="0"/>
    <n v="9"/>
    <n v="3"/>
    <s v="Marketing"/>
    <n v="1"/>
    <n v="893"/>
    <x v="0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x v="1"/>
    <x v="4"/>
    <n v="2"/>
    <n v="1"/>
    <n v="2"/>
  </r>
  <r>
    <n v="42"/>
    <x v="1"/>
    <s v="Travel_Rarely"/>
    <n v="1265"/>
    <x v="1"/>
    <n v="3"/>
    <n v="3"/>
    <s v="Life Sciences"/>
    <n v="1"/>
    <n v="894"/>
    <x v="1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x v="2"/>
    <x v="8"/>
    <n v="3"/>
    <n v="1"/>
    <n v="3"/>
  </r>
  <r>
    <n v="31"/>
    <x v="1"/>
    <s v="Travel_Rarely"/>
    <n v="1222"/>
    <x v="1"/>
    <n v="11"/>
    <n v="4"/>
    <s v="Life Sciences"/>
    <n v="1"/>
    <n v="895"/>
    <x v="2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x v="1"/>
    <x v="0"/>
    <n v="4"/>
    <n v="0"/>
    <n v="2"/>
  </r>
  <r>
    <n v="29"/>
    <x v="0"/>
    <s v="Travel_Rarely"/>
    <n v="341"/>
    <x v="0"/>
    <n v="1"/>
    <n v="3"/>
    <s v="Medical"/>
    <n v="1"/>
    <n v="896"/>
    <x v="0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x v="1"/>
    <x v="11"/>
    <n v="2"/>
    <n v="0"/>
    <n v="2"/>
  </r>
  <r>
    <n v="53"/>
    <x v="1"/>
    <s v="Travel_Rarely"/>
    <n v="868"/>
    <x v="0"/>
    <n v="8"/>
    <n v="3"/>
    <s v="Marketing"/>
    <n v="1"/>
    <n v="897"/>
    <x v="3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x v="1"/>
    <x v="4"/>
    <n v="0"/>
    <n v="2"/>
    <n v="2"/>
  </r>
  <r>
    <n v="35"/>
    <x v="1"/>
    <s v="Travel_Rarely"/>
    <n v="672"/>
    <x v="1"/>
    <n v="25"/>
    <n v="3"/>
    <s v="Technical Degree"/>
    <n v="1"/>
    <n v="899"/>
    <x v="2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x v="1"/>
    <x v="20"/>
    <n v="10"/>
    <n v="4"/>
    <n v="8"/>
  </r>
  <r>
    <n v="37"/>
    <x v="1"/>
    <s v="Travel_Frequently"/>
    <n v="1231"/>
    <x v="0"/>
    <n v="21"/>
    <n v="2"/>
    <s v="Medical"/>
    <n v="1"/>
    <n v="900"/>
    <x v="1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x v="1"/>
    <x v="8"/>
    <n v="4"/>
    <n v="0"/>
    <n v="0"/>
  </r>
  <r>
    <n v="53"/>
    <x v="1"/>
    <s v="Travel_Rarely"/>
    <n v="102"/>
    <x v="1"/>
    <n v="23"/>
    <n v="4"/>
    <s v="Life Sciences"/>
    <n v="1"/>
    <n v="901"/>
    <x v="2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x v="1"/>
    <x v="12"/>
    <n v="9"/>
    <n v="3"/>
    <n v="8"/>
  </r>
  <r>
    <n v="43"/>
    <x v="1"/>
    <s v="Travel_Frequently"/>
    <n v="422"/>
    <x v="1"/>
    <n v="1"/>
    <n v="3"/>
    <s v="Life Sciences"/>
    <n v="1"/>
    <n v="902"/>
    <x v="2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x v="2"/>
    <x v="8"/>
    <n v="2"/>
    <n v="2"/>
    <n v="2"/>
  </r>
  <r>
    <n v="47"/>
    <x v="1"/>
    <s v="Travel_Rarely"/>
    <n v="249"/>
    <x v="0"/>
    <n v="2"/>
    <n v="2"/>
    <s v="Marketing"/>
    <n v="1"/>
    <n v="903"/>
    <x v="1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x v="1"/>
    <x v="5"/>
    <n v="6"/>
    <n v="7"/>
    <n v="7"/>
  </r>
  <r>
    <n v="37"/>
    <x v="1"/>
    <s v="Non-Travel"/>
    <n v="1252"/>
    <x v="0"/>
    <n v="19"/>
    <n v="2"/>
    <s v="Medical"/>
    <n v="1"/>
    <n v="904"/>
    <x v="3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x v="1"/>
    <x v="1"/>
    <n v="0"/>
    <n v="0"/>
    <n v="9"/>
  </r>
  <r>
    <n v="50"/>
    <x v="1"/>
    <s v="Non-Travel"/>
    <n v="881"/>
    <x v="1"/>
    <n v="2"/>
    <n v="4"/>
    <s v="Life Sciences"/>
    <n v="1"/>
    <n v="905"/>
    <x v="3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x v="1"/>
    <x v="31"/>
    <n v="6"/>
    <n v="14"/>
    <n v="7"/>
  </r>
  <r>
    <n v="39"/>
    <x v="1"/>
    <s v="Travel_Rarely"/>
    <n v="1383"/>
    <x v="2"/>
    <n v="2"/>
    <n v="3"/>
    <s v="Life Sciences"/>
    <n v="1"/>
    <n v="909"/>
    <x v="2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x v="1"/>
    <x v="8"/>
    <n v="4"/>
    <n v="0"/>
    <n v="4"/>
  </r>
  <r>
    <n v="33"/>
    <x v="1"/>
    <s v="Travel_Rarely"/>
    <n v="1075"/>
    <x v="2"/>
    <n v="3"/>
    <n v="2"/>
    <s v="Human Resources"/>
    <n v="1"/>
    <n v="910"/>
    <x v="2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x v="3"/>
    <x v="9"/>
    <n v="3"/>
    <n v="0"/>
    <n v="3"/>
  </r>
  <r>
    <n v="32"/>
    <x v="0"/>
    <s v="Travel_Rarely"/>
    <n v="374"/>
    <x v="1"/>
    <n v="25"/>
    <n v="4"/>
    <s v="Life Sciences"/>
    <n v="1"/>
    <n v="911"/>
    <x v="3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x v="0"/>
    <x v="6"/>
    <n v="0"/>
    <n v="0"/>
    <n v="1"/>
  </r>
  <r>
    <n v="29"/>
    <x v="1"/>
    <s v="Travel_Rarely"/>
    <n v="1086"/>
    <x v="1"/>
    <n v="7"/>
    <n v="1"/>
    <s v="Medical"/>
    <n v="1"/>
    <n v="912"/>
    <x v="3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x v="1"/>
    <x v="9"/>
    <n v="3"/>
    <n v="0"/>
    <n v="3"/>
  </r>
  <r>
    <n v="44"/>
    <x v="1"/>
    <s v="Travel_Rarely"/>
    <n v="661"/>
    <x v="1"/>
    <n v="9"/>
    <n v="2"/>
    <s v="Life Sciences"/>
    <n v="1"/>
    <n v="913"/>
    <x v="0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x v="1"/>
    <x v="3"/>
    <n v="7"/>
    <n v="7"/>
    <n v="1"/>
  </r>
  <r>
    <n v="28"/>
    <x v="1"/>
    <s v="Travel_Rarely"/>
    <n v="821"/>
    <x v="0"/>
    <n v="5"/>
    <n v="4"/>
    <s v="Medical"/>
    <n v="1"/>
    <n v="916"/>
    <x v="3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x v="1"/>
    <x v="9"/>
    <n v="2"/>
    <n v="0"/>
    <n v="2"/>
  </r>
  <r>
    <n v="58"/>
    <x v="0"/>
    <s v="Travel_Frequently"/>
    <n v="781"/>
    <x v="1"/>
    <n v="2"/>
    <n v="1"/>
    <s v="Life Sciences"/>
    <n v="1"/>
    <n v="918"/>
    <x v="2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x v="2"/>
    <x v="6"/>
    <n v="0"/>
    <n v="0"/>
    <n v="0"/>
  </r>
  <r>
    <n v="43"/>
    <x v="1"/>
    <s v="Travel_Rarely"/>
    <n v="177"/>
    <x v="1"/>
    <n v="8"/>
    <n v="3"/>
    <s v="Life Sciences"/>
    <n v="1"/>
    <n v="920"/>
    <x v="3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x v="3"/>
    <x v="6"/>
    <n v="0"/>
    <n v="0"/>
    <n v="0"/>
  </r>
  <r>
    <n v="20"/>
    <x v="0"/>
    <s v="Travel_Rarely"/>
    <n v="500"/>
    <x v="0"/>
    <n v="2"/>
    <n v="3"/>
    <s v="Medical"/>
    <n v="1"/>
    <n v="922"/>
    <x v="1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x v="2"/>
    <x v="4"/>
    <n v="2"/>
    <n v="0"/>
    <n v="2"/>
  </r>
  <r>
    <n v="21"/>
    <x v="0"/>
    <s v="Travel_Rarely"/>
    <n v="1427"/>
    <x v="1"/>
    <n v="18"/>
    <n v="1"/>
    <s v="Other"/>
    <n v="1"/>
    <n v="923"/>
    <x v="2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x v="2"/>
    <x v="6"/>
    <n v="0"/>
    <n v="0"/>
    <n v="0"/>
  </r>
  <r>
    <n v="36"/>
    <x v="1"/>
    <s v="Travel_Rarely"/>
    <n v="1425"/>
    <x v="1"/>
    <n v="14"/>
    <n v="1"/>
    <s v="Life Sciences"/>
    <n v="1"/>
    <n v="924"/>
    <x v="1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x v="2"/>
    <x v="22"/>
    <n v="8"/>
    <n v="4"/>
    <n v="11"/>
  </r>
  <r>
    <n v="47"/>
    <x v="1"/>
    <s v="Travel_Rarely"/>
    <n v="1454"/>
    <x v="0"/>
    <n v="2"/>
    <n v="4"/>
    <s v="Life Sciences"/>
    <n v="1"/>
    <n v="925"/>
    <x v="2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x v="2"/>
    <x v="11"/>
    <n v="2"/>
    <n v="1"/>
    <n v="2"/>
  </r>
  <r>
    <n v="22"/>
    <x v="0"/>
    <s v="Travel_Rarely"/>
    <n v="617"/>
    <x v="1"/>
    <n v="3"/>
    <n v="1"/>
    <s v="Life Sciences"/>
    <n v="1"/>
    <n v="926"/>
    <x v="0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x v="3"/>
    <x v="11"/>
    <n v="2"/>
    <n v="0"/>
    <n v="2"/>
  </r>
  <r>
    <n v="41"/>
    <x v="0"/>
    <s v="Travel_Rarely"/>
    <n v="1085"/>
    <x v="1"/>
    <n v="2"/>
    <n v="4"/>
    <s v="Life Sciences"/>
    <n v="1"/>
    <n v="927"/>
    <x v="0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x v="2"/>
    <x v="5"/>
    <n v="7"/>
    <n v="1"/>
    <n v="0"/>
  </r>
  <r>
    <n v="28"/>
    <x v="1"/>
    <s v="Travel_Rarely"/>
    <n v="995"/>
    <x v="1"/>
    <n v="9"/>
    <n v="3"/>
    <s v="Medical"/>
    <n v="1"/>
    <n v="930"/>
    <x v="1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x v="1"/>
    <x v="4"/>
    <n v="2"/>
    <n v="2"/>
    <n v="2"/>
  </r>
  <r>
    <n v="39"/>
    <x v="0"/>
    <s v="Travel_Rarely"/>
    <n v="1122"/>
    <x v="1"/>
    <n v="6"/>
    <n v="3"/>
    <s v="Medical"/>
    <n v="1"/>
    <n v="932"/>
    <x v="2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x v="0"/>
    <x v="4"/>
    <n v="2"/>
    <n v="2"/>
    <n v="2"/>
  </r>
  <r>
    <n v="27"/>
    <x v="1"/>
    <s v="Travel_Rarely"/>
    <n v="618"/>
    <x v="1"/>
    <n v="4"/>
    <n v="3"/>
    <s v="Life Sciences"/>
    <n v="1"/>
    <n v="933"/>
    <x v="0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x v="1"/>
    <x v="6"/>
    <n v="1"/>
    <n v="0"/>
    <n v="0"/>
  </r>
  <r>
    <n v="34"/>
    <x v="1"/>
    <s v="Travel_Rarely"/>
    <n v="546"/>
    <x v="1"/>
    <n v="10"/>
    <n v="3"/>
    <s v="Life Sciences"/>
    <n v="1"/>
    <n v="934"/>
    <x v="0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x v="1"/>
    <x v="6"/>
    <n v="0"/>
    <n v="1"/>
    <n v="0"/>
  </r>
  <r>
    <n v="42"/>
    <x v="1"/>
    <s v="Travel_Rarely"/>
    <n v="462"/>
    <x v="0"/>
    <n v="14"/>
    <n v="2"/>
    <s v="Medical"/>
    <n v="1"/>
    <n v="936"/>
    <x v="1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x v="1"/>
    <x v="8"/>
    <n v="4"/>
    <n v="0"/>
    <n v="3"/>
  </r>
  <r>
    <n v="33"/>
    <x v="1"/>
    <s v="Travel_Rarely"/>
    <n v="1198"/>
    <x v="1"/>
    <n v="1"/>
    <n v="4"/>
    <s v="Other"/>
    <n v="1"/>
    <n v="939"/>
    <x v="1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x v="1"/>
    <x v="11"/>
    <n v="2"/>
    <n v="0"/>
    <n v="2"/>
  </r>
  <r>
    <n v="58"/>
    <x v="1"/>
    <s v="Travel_Rarely"/>
    <n v="1272"/>
    <x v="1"/>
    <n v="5"/>
    <n v="3"/>
    <s v="Technical Degree"/>
    <n v="1"/>
    <n v="940"/>
    <x v="1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x v="1"/>
    <x v="0"/>
    <n v="0"/>
    <n v="0"/>
    <n v="4"/>
  </r>
  <r>
    <n v="31"/>
    <x v="1"/>
    <s v="Travel_Rarely"/>
    <n v="154"/>
    <x v="0"/>
    <n v="7"/>
    <n v="4"/>
    <s v="Life Sciences"/>
    <n v="1"/>
    <n v="941"/>
    <x v="0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x v="3"/>
    <x v="5"/>
    <n v="7"/>
    <n v="5"/>
    <n v="2"/>
  </r>
  <r>
    <n v="35"/>
    <x v="1"/>
    <s v="Travel_Rarely"/>
    <n v="1137"/>
    <x v="1"/>
    <n v="21"/>
    <n v="1"/>
    <s v="Life Sciences"/>
    <n v="1"/>
    <n v="942"/>
    <x v="2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x v="0"/>
    <x v="1"/>
    <n v="6"/>
    <n v="0"/>
    <n v="7"/>
  </r>
  <r>
    <n v="49"/>
    <x v="1"/>
    <s v="Travel_Rarely"/>
    <n v="527"/>
    <x v="1"/>
    <n v="8"/>
    <n v="2"/>
    <s v="Other"/>
    <n v="1"/>
    <n v="944"/>
    <x v="3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x v="2"/>
    <x v="34"/>
    <n v="9"/>
    <n v="1"/>
    <n v="7"/>
  </r>
  <r>
    <n v="48"/>
    <x v="1"/>
    <s v="Travel_Rarely"/>
    <n v="1469"/>
    <x v="1"/>
    <n v="20"/>
    <n v="4"/>
    <s v="Medical"/>
    <n v="1"/>
    <n v="945"/>
    <x v="2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x v="2"/>
    <x v="2"/>
    <n v="0"/>
    <n v="0"/>
    <n v="0"/>
  </r>
  <r>
    <n v="31"/>
    <x v="1"/>
    <s v="Non-Travel"/>
    <n v="1188"/>
    <x v="0"/>
    <n v="20"/>
    <n v="2"/>
    <s v="Marketing"/>
    <n v="1"/>
    <n v="947"/>
    <x v="2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x v="2"/>
    <x v="7"/>
    <n v="8"/>
    <n v="0"/>
    <n v="0"/>
  </r>
  <r>
    <n v="36"/>
    <x v="1"/>
    <s v="Travel_Rarely"/>
    <n v="188"/>
    <x v="1"/>
    <n v="7"/>
    <n v="4"/>
    <s v="Other"/>
    <n v="1"/>
    <n v="949"/>
    <x v="0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x v="1"/>
    <x v="0"/>
    <n v="2"/>
    <n v="0"/>
    <n v="1"/>
  </r>
  <r>
    <n v="38"/>
    <x v="1"/>
    <s v="Travel_Rarely"/>
    <n v="1333"/>
    <x v="1"/>
    <n v="1"/>
    <n v="3"/>
    <s v="Technical Degree"/>
    <n v="1"/>
    <n v="950"/>
    <x v="2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x v="1"/>
    <x v="15"/>
    <n v="12"/>
    <n v="5"/>
    <n v="11"/>
  </r>
  <r>
    <n v="32"/>
    <x v="1"/>
    <s v="Non-Travel"/>
    <n v="1184"/>
    <x v="1"/>
    <n v="1"/>
    <n v="3"/>
    <s v="Life Sciences"/>
    <n v="1"/>
    <n v="951"/>
    <x v="1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x v="1"/>
    <x v="11"/>
    <n v="0"/>
    <n v="0"/>
    <n v="2"/>
  </r>
  <r>
    <n v="25"/>
    <x v="0"/>
    <s v="Travel_Rarely"/>
    <n v="867"/>
    <x v="0"/>
    <n v="19"/>
    <n v="2"/>
    <s v="Marketing"/>
    <n v="1"/>
    <n v="952"/>
    <x v="1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x v="1"/>
    <x v="6"/>
    <n v="0"/>
    <n v="0"/>
    <n v="0"/>
  </r>
  <r>
    <n v="40"/>
    <x v="1"/>
    <s v="Travel_Rarely"/>
    <n v="658"/>
    <x v="0"/>
    <n v="10"/>
    <n v="4"/>
    <s v="Marketing"/>
    <n v="1"/>
    <n v="954"/>
    <x v="3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x v="2"/>
    <x v="6"/>
    <n v="0"/>
    <n v="0"/>
    <n v="0"/>
  </r>
  <r>
    <n v="26"/>
    <x v="1"/>
    <s v="Travel_Frequently"/>
    <n v="1283"/>
    <x v="0"/>
    <n v="1"/>
    <n v="3"/>
    <s v="Medical"/>
    <n v="1"/>
    <n v="956"/>
    <x v="1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x v="1"/>
    <x v="5"/>
    <n v="7"/>
    <n v="0"/>
    <n v="7"/>
  </r>
  <r>
    <n v="41"/>
    <x v="1"/>
    <s v="Travel_Rarely"/>
    <n v="263"/>
    <x v="1"/>
    <n v="6"/>
    <n v="3"/>
    <s v="Medical"/>
    <n v="1"/>
    <n v="957"/>
    <x v="2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x v="1"/>
    <x v="29"/>
    <n v="13"/>
    <n v="2"/>
    <n v="17"/>
  </r>
  <r>
    <n v="36"/>
    <x v="1"/>
    <s v="Travel_Rarely"/>
    <n v="938"/>
    <x v="1"/>
    <n v="2"/>
    <n v="4"/>
    <s v="Medical"/>
    <n v="1"/>
    <n v="958"/>
    <x v="1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x v="1"/>
    <x v="19"/>
    <n v="8"/>
    <n v="3"/>
    <n v="9"/>
  </r>
  <r>
    <n v="19"/>
    <x v="0"/>
    <s v="Travel_Rarely"/>
    <n v="419"/>
    <x v="0"/>
    <n v="21"/>
    <n v="3"/>
    <s v="Other"/>
    <n v="1"/>
    <n v="959"/>
    <x v="2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x v="3"/>
    <x v="6"/>
    <n v="0"/>
    <n v="0"/>
    <n v="0"/>
  </r>
  <r>
    <n v="20"/>
    <x v="0"/>
    <s v="Travel_Rarely"/>
    <n v="129"/>
    <x v="1"/>
    <n v="4"/>
    <n v="3"/>
    <s v="Technical Degree"/>
    <n v="1"/>
    <n v="960"/>
    <x v="3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x v="1"/>
    <x v="6"/>
    <n v="0"/>
    <n v="0"/>
    <n v="0"/>
  </r>
  <r>
    <n v="31"/>
    <x v="1"/>
    <s v="Travel_Rarely"/>
    <n v="616"/>
    <x v="1"/>
    <n v="12"/>
    <n v="3"/>
    <s v="Medical"/>
    <n v="1"/>
    <n v="961"/>
    <x v="2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x v="0"/>
    <x v="7"/>
    <n v="7"/>
    <n v="8"/>
    <n v="5"/>
  </r>
  <r>
    <n v="40"/>
    <x v="1"/>
    <s v="Travel_Frequently"/>
    <n v="1469"/>
    <x v="1"/>
    <n v="9"/>
    <n v="4"/>
    <s v="Medical"/>
    <n v="1"/>
    <n v="964"/>
    <x v="2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x v="1"/>
    <x v="6"/>
    <n v="1"/>
    <n v="0"/>
    <n v="0"/>
  </r>
  <r>
    <n v="32"/>
    <x v="1"/>
    <s v="Travel_Rarely"/>
    <n v="498"/>
    <x v="1"/>
    <n v="3"/>
    <n v="4"/>
    <s v="Medical"/>
    <n v="1"/>
    <n v="966"/>
    <x v="1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x v="3"/>
    <x v="3"/>
    <n v="7"/>
    <n v="6"/>
    <n v="3"/>
  </r>
  <r>
    <n v="36"/>
    <x v="0"/>
    <s v="Travel_Rarely"/>
    <n v="530"/>
    <x v="0"/>
    <n v="3"/>
    <n v="1"/>
    <s v="Life Sciences"/>
    <n v="1"/>
    <n v="967"/>
    <x v="1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x v="1"/>
    <x v="22"/>
    <n v="7"/>
    <n v="3"/>
    <n v="7"/>
  </r>
  <r>
    <n v="33"/>
    <x v="1"/>
    <s v="Travel_Rarely"/>
    <n v="1069"/>
    <x v="1"/>
    <n v="1"/>
    <n v="3"/>
    <s v="Life Sciences"/>
    <n v="1"/>
    <n v="969"/>
    <x v="0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x v="1"/>
    <x v="8"/>
    <n v="0"/>
    <n v="1"/>
    <n v="4"/>
  </r>
  <r>
    <n v="37"/>
    <x v="0"/>
    <s v="Travel_Rarely"/>
    <n v="625"/>
    <x v="0"/>
    <n v="1"/>
    <n v="4"/>
    <s v="Life Sciences"/>
    <n v="1"/>
    <n v="970"/>
    <x v="3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x v="0"/>
    <x v="13"/>
    <n v="1"/>
    <n v="11"/>
    <n v="7"/>
  </r>
  <r>
    <n v="45"/>
    <x v="1"/>
    <s v="Non-Travel"/>
    <n v="805"/>
    <x v="1"/>
    <n v="4"/>
    <n v="2"/>
    <s v="Life Sciences"/>
    <n v="1"/>
    <n v="972"/>
    <x v="1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x v="2"/>
    <x v="7"/>
    <n v="7"/>
    <n v="0"/>
    <n v="8"/>
  </r>
  <r>
    <n v="29"/>
    <x v="1"/>
    <s v="Travel_Frequently"/>
    <n v="1404"/>
    <x v="0"/>
    <n v="20"/>
    <n v="3"/>
    <s v="Technical Degree"/>
    <n v="1"/>
    <n v="974"/>
    <x v="1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x v="1"/>
    <x v="11"/>
    <n v="1"/>
    <n v="0"/>
    <n v="2"/>
  </r>
  <r>
    <n v="35"/>
    <x v="1"/>
    <s v="Travel_Rarely"/>
    <n v="1219"/>
    <x v="0"/>
    <n v="18"/>
    <n v="3"/>
    <s v="Medical"/>
    <n v="1"/>
    <n v="975"/>
    <x v="1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x v="1"/>
    <x v="8"/>
    <n v="2"/>
    <n v="1"/>
    <n v="0"/>
  </r>
  <r>
    <n v="52"/>
    <x v="1"/>
    <s v="Travel_Rarely"/>
    <n v="1053"/>
    <x v="1"/>
    <n v="1"/>
    <n v="2"/>
    <s v="Life Sciences"/>
    <n v="1"/>
    <n v="976"/>
    <x v="2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x v="2"/>
    <x v="7"/>
    <n v="8"/>
    <n v="7"/>
    <n v="8"/>
  </r>
  <r>
    <n v="58"/>
    <x v="0"/>
    <s v="Travel_Rarely"/>
    <n v="289"/>
    <x v="1"/>
    <n v="2"/>
    <n v="3"/>
    <s v="Technical Degree"/>
    <n v="1"/>
    <n v="977"/>
    <x v="2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x v="1"/>
    <x v="6"/>
    <n v="0"/>
    <n v="0"/>
    <n v="0"/>
  </r>
  <r>
    <n v="53"/>
    <x v="1"/>
    <s v="Travel_Rarely"/>
    <n v="1376"/>
    <x v="0"/>
    <n v="2"/>
    <n v="2"/>
    <s v="Medical"/>
    <n v="1"/>
    <n v="981"/>
    <x v="1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x v="3"/>
    <x v="18"/>
    <n v="13"/>
    <n v="15"/>
    <n v="2"/>
  </r>
  <r>
    <n v="30"/>
    <x v="1"/>
    <s v="Travel_Rarely"/>
    <n v="231"/>
    <x v="0"/>
    <n v="8"/>
    <n v="2"/>
    <s v="Other"/>
    <n v="1"/>
    <n v="982"/>
    <x v="1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x v="3"/>
    <x v="3"/>
    <n v="4"/>
    <n v="7"/>
    <n v="7"/>
  </r>
  <r>
    <n v="38"/>
    <x v="1"/>
    <s v="Non-Travel"/>
    <n v="152"/>
    <x v="0"/>
    <n v="10"/>
    <n v="3"/>
    <s v="Technical Degree"/>
    <n v="1"/>
    <n v="983"/>
    <x v="1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x v="1"/>
    <x v="8"/>
    <n v="3"/>
    <n v="1"/>
    <n v="3"/>
  </r>
  <r>
    <n v="35"/>
    <x v="1"/>
    <s v="Travel_Rarely"/>
    <n v="882"/>
    <x v="0"/>
    <n v="3"/>
    <n v="4"/>
    <s v="Life Sciences"/>
    <n v="1"/>
    <n v="984"/>
    <x v="2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x v="1"/>
    <x v="1"/>
    <n v="9"/>
    <n v="0"/>
    <n v="8"/>
  </r>
  <r>
    <n v="39"/>
    <x v="1"/>
    <s v="Travel_Rarely"/>
    <n v="903"/>
    <x v="0"/>
    <n v="2"/>
    <n v="5"/>
    <s v="Life Sciences"/>
    <n v="1"/>
    <n v="985"/>
    <x v="3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x v="1"/>
    <x v="3"/>
    <n v="7"/>
    <n v="0"/>
    <n v="7"/>
  </r>
  <r>
    <n v="40"/>
    <x v="0"/>
    <s v="Non-Travel"/>
    <n v="1479"/>
    <x v="0"/>
    <n v="24"/>
    <n v="3"/>
    <s v="Life Sciences"/>
    <n v="1"/>
    <n v="986"/>
    <x v="0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x v="2"/>
    <x v="6"/>
    <n v="0"/>
    <n v="0"/>
    <n v="0"/>
  </r>
  <r>
    <n v="47"/>
    <x v="1"/>
    <s v="Travel_Frequently"/>
    <n v="1379"/>
    <x v="1"/>
    <n v="16"/>
    <n v="4"/>
    <s v="Medical"/>
    <n v="1"/>
    <n v="987"/>
    <x v="1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x v="3"/>
    <x v="27"/>
    <n v="10"/>
    <n v="2"/>
    <n v="7"/>
  </r>
  <r>
    <n v="36"/>
    <x v="1"/>
    <s v="Non-Travel"/>
    <n v="1229"/>
    <x v="0"/>
    <n v="8"/>
    <n v="4"/>
    <s v="Technical Degree"/>
    <n v="1"/>
    <n v="990"/>
    <x v="3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x v="1"/>
    <x v="5"/>
    <n v="7"/>
    <n v="0"/>
    <n v="7"/>
  </r>
  <r>
    <n v="31"/>
    <x v="0"/>
    <s v="Non-Travel"/>
    <n v="335"/>
    <x v="1"/>
    <n v="9"/>
    <n v="2"/>
    <s v="Medical"/>
    <n v="1"/>
    <n v="991"/>
    <x v="1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x v="1"/>
    <x v="11"/>
    <n v="2"/>
    <n v="1"/>
    <n v="2"/>
  </r>
  <r>
    <n v="33"/>
    <x v="1"/>
    <s v="Non-Travel"/>
    <n v="722"/>
    <x v="0"/>
    <n v="17"/>
    <n v="3"/>
    <s v="Life Sciences"/>
    <n v="1"/>
    <n v="992"/>
    <x v="2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x v="1"/>
    <x v="1"/>
    <n v="8"/>
    <n v="6"/>
    <n v="0"/>
  </r>
  <r>
    <n v="29"/>
    <x v="0"/>
    <s v="Travel_Rarely"/>
    <n v="906"/>
    <x v="1"/>
    <n v="10"/>
    <n v="3"/>
    <s v="Life Sciences"/>
    <n v="1"/>
    <n v="994"/>
    <x v="2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x v="1"/>
    <x v="2"/>
    <n v="0"/>
    <n v="0"/>
    <n v="0"/>
  </r>
  <r>
    <n v="33"/>
    <x v="1"/>
    <s v="Travel_Rarely"/>
    <n v="461"/>
    <x v="1"/>
    <n v="13"/>
    <n v="1"/>
    <s v="Life Sciences"/>
    <n v="1"/>
    <n v="995"/>
    <x v="0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x v="1"/>
    <x v="11"/>
    <n v="2"/>
    <n v="0"/>
    <n v="2"/>
  </r>
  <r>
    <n v="45"/>
    <x v="1"/>
    <s v="Travel_Rarely"/>
    <n v="974"/>
    <x v="1"/>
    <n v="1"/>
    <n v="4"/>
    <s v="Medical"/>
    <n v="1"/>
    <n v="996"/>
    <x v="2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x v="1"/>
    <x v="8"/>
    <n v="3"/>
    <n v="0"/>
    <n v="2"/>
  </r>
  <r>
    <n v="50"/>
    <x v="1"/>
    <s v="Travel_Rarely"/>
    <n v="1126"/>
    <x v="1"/>
    <n v="1"/>
    <n v="2"/>
    <s v="Medical"/>
    <n v="1"/>
    <n v="997"/>
    <x v="2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x v="2"/>
    <x v="8"/>
    <n v="4"/>
    <n v="1"/>
    <n v="3"/>
  </r>
  <r>
    <n v="33"/>
    <x v="1"/>
    <s v="Travel_Frequently"/>
    <n v="827"/>
    <x v="1"/>
    <n v="1"/>
    <n v="4"/>
    <s v="Other"/>
    <n v="1"/>
    <n v="998"/>
    <x v="1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x v="1"/>
    <x v="0"/>
    <n v="5"/>
    <n v="1"/>
    <n v="2"/>
  </r>
  <r>
    <n v="41"/>
    <x v="1"/>
    <s v="Travel_Frequently"/>
    <n v="840"/>
    <x v="1"/>
    <n v="9"/>
    <n v="3"/>
    <s v="Medical"/>
    <n v="1"/>
    <n v="999"/>
    <x v="3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x v="3"/>
    <x v="29"/>
    <n v="16"/>
    <n v="0"/>
    <n v="11"/>
  </r>
  <r>
    <n v="27"/>
    <x v="1"/>
    <s v="Travel_Rarely"/>
    <n v="1134"/>
    <x v="1"/>
    <n v="16"/>
    <n v="4"/>
    <s v="Technical Degree"/>
    <n v="1"/>
    <n v="1001"/>
    <x v="1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x v="1"/>
    <x v="4"/>
    <n v="2"/>
    <n v="2"/>
    <n v="2"/>
  </r>
  <r>
    <n v="45"/>
    <x v="1"/>
    <s v="Non-Travel"/>
    <n v="248"/>
    <x v="1"/>
    <n v="23"/>
    <n v="2"/>
    <s v="Life Sciences"/>
    <n v="1"/>
    <n v="1002"/>
    <x v="2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x v="1"/>
    <x v="7"/>
    <n v="8"/>
    <n v="0"/>
    <n v="8"/>
  </r>
  <r>
    <n v="47"/>
    <x v="1"/>
    <s v="Travel_Rarely"/>
    <n v="955"/>
    <x v="0"/>
    <n v="4"/>
    <n v="2"/>
    <s v="Life Sciences"/>
    <n v="1"/>
    <n v="1003"/>
    <x v="2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x v="1"/>
    <x v="7"/>
    <n v="0"/>
    <n v="0"/>
    <n v="7"/>
  </r>
  <r>
    <n v="30"/>
    <x v="0"/>
    <s v="Travel_Rarely"/>
    <n v="138"/>
    <x v="1"/>
    <n v="22"/>
    <n v="3"/>
    <s v="Life Sciences"/>
    <n v="1"/>
    <n v="1004"/>
    <x v="3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x v="1"/>
    <x v="8"/>
    <n v="2"/>
    <n v="0"/>
    <n v="1"/>
  </r>
  <r>
    <n v="50"/>
    <x v="1"/>
    <s v="Travel_Rarely"/>
    <n v="939"/>
    <x v="1"/>
    <n v="24"/>
    <n v="3"/>
    <s v="Life Sciences"/>
    <n v="1"/>
    <n v="1005"/>
    <x v="2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x v="1"/>
    <x v="12"/>
    <n v="11"/>
    <n v="1"/>
    <n v="5"/>
  </r>
  <r>
    <n v="38"/>
    <x v="1"/>
    <s v="Travel_Frequently"/>
    <n v="1391"/>
    <x v="1"/>
    <n v="10"/>
    <n v="1"/>
    <s v="Medical"/>
    <n v="1"/>
    <n v="1006"/>
    <x v="1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x v="2"/>
    <x v="4"/>
    <n v="1"/>
    <n v="0"/>
    <n v="2"/>
  </r>
  <r>
    <n v="46"/>
    <x v="1"/>
    <s v="Travel_Rarely"/>
    <n v="566"/>
    <x v="1"/>
    <n v="7"/>
    <n v="2"/>
    <s v="Medical"/>
    <n v="1"/>
    <n v="1007"/>
    <x v="2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x v="1"/>
    <x v="3"/>
    <n v="7"/>
    <n v="0"/>
    <n v="7"/>
  </r>
  <r>
    <n v="24"/>
    <x v="1"/>
    <s v="Travel_Rarely"/>
    <n v="1206"/>
    <x v="1"/>
    <n v="17"/>
    <n v="1"/>
    <s v="Medical"/>
    <n v="1"/>
    <n v="1009"/>
    <x v="2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x v="1"/>
    <x v="9"/>
    <n v="2"/>
    <n v="3"/>
    <n v="2"/>
  </r>
  <r>
    <n v="35"/>
    <x v="0"/>
    <s v="Travel_Rarely"/>
    <n v="622"/>
    <x v="1"/>
    <n v="14"/>
    <n v="4"/>
    <s v="Other"/>
    <n v="1"/>
    <n v="1010"/>
    <x v="1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x v="0"/>
    <x v="9"/>
    <n v="2"/>
    <n v="0"/>
    <n v="2"/>
  </r>
  <r>
    <n v="31"/>
    <x v="1"/>
    <s v="Travel_Frequently"/>
    <n v="853"/>
    <x v="1"/>
    <n v="1"/>
    <n v="1"/>
    <s v="Life Sciences"/>
    <n v="1"/>
    <n v="1011"/>
    <x v="1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x v="1"/>
    <x v="9"/>
    <n v="3"/>
    <n v="0"/>
    <n v="3"/>
  </r>
  <r>
    <n v="18"/>
    <x v="1"/>
    <s v="Non-Travel"/>
    <n v="287"/>
    <x v="1"/>
    <n v="5"/>
    <n v="2"/>
    <s v="Life Sciences"/>
    <n v="1"/>
    <n v="1012"/>
    <x v="0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x v="1"/>
    <x v="2"/>
    <n v="0"/>
    <n v="0"/>
    <n v="0"/>
  </r>
  <r>
    <n v="54"/>
    <x v="1"/>
    <s v="Travel_Rarely"/>
    <n v="1441"/>
    <x v="1"/>
    <n v="17"/>
    <n v="3"/>
    <s v="Technical Degree"/>
    <n v="1"/>
    <n v="1013"/>
    <x v="1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x v="1"/>
    <x v="1"/>
    <n v="7"/>
    <n v="0"/>
    <n v="8"/>
  </r>
  <r>
    <n v="35"/>
    <x v="1"/>
    <s v="Travel_Rarely"/>
    <n v="583"/>
    <x v="1"/>
    <n v="25"/>
    <n v="4"/>
    <s v="Medical"/>
    <n v="1"/>
    <n v="1014"/>
    <x v="1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x v="2"/>
    <x v="22"/>
    <n v="10"/>
    <n v="10"/>
    <n v="1"/>
  </r>
  <r>
    <n v="30"/>
    <x v="1"/>
    <s v="Travel_Rarely"/>
    <n v="153"/>
    <x v="1"/>
    <n v="8"/>
    <n v="2"/>
    <s v="Life Sciences"/>
    <n v="1"/>
    <n v="1015"/>
    <x v="0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x v="2"/>
    <x v="3"/>
    <n v="7"/>
    <n v="1"/>
    <n v="7"/>
  </r>
  <r>
    <n v="20"/>
    <x v="0"/>
    <s v="Travel_Rarely"/>
    <n v="1097"/>
    <x v="1"/>
    <n v="11"/>
    <n v="3"/>
    <s v="Medical"/>
    <n v="1"/>
    <n v="1016"/>
    <x v="2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x v="1"/>
    <x v="6"/>
    <n v="0"/>
    <n v="0"/>
    <n v="0"/>
  </r>
  <r>
    <n v="30"/>
    <x v="0"/>
    <s v="Travel_Frequently"/>
    <n v="109"/>
    <x v="1"/>
    <n v="5"/>
    <n v="3"/>
    <s v="Medical"/>
    <n v="1"/>
    <n v="1017"/>
    <x v="0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x v="1"/>
    <x v="11"/>
    <n v="2"/>
    <n v="1"/>
    <n v="2"/>
  </r>
  <r>
    <n v="26"/>
    <x v="1"/>
    <s v="Travel_Rarely"/>
    <n v="1066"/>
    <x v="1"/>
    <n v="2"/>
    <n v="2"/>
    <s v="Medical"/>
    <n v="1"/>
    <n v="1018"/>
    <x v="2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x v="1"/>
    <x v="3"/>
    <n v="7"/>
    <n v="1"/>
    <n v="3"/>
  </r>
  <r>
    <n v="22"/>
    <x v="1"/>
    <s v="Travel_Rarely"/>
    <n v="217"/>
    <x v="1"/>
    <n v="8"/>
    <n v="1"/>
    <s v="Life Sciences"/>
    <n v="1"/>
    <n v="1019"/>
    <x v="0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x v="2"/>
    <x v="9"/>
    <n v="3"/>
    <n v="1"/>
    <n v="1"/>
  </r>
  <r>
    <n v="48"/>
    <x v="1"/>
    <s v="Travel_Rarely"/>
    <n v="277"/>
    <x v="1"/>
    <n v="6"/>
    <n v="3"/>
    <s v="Life Sciences"/>
    <n v="1"/>
    <n v="1022"/>
    <x v="3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x v="1"/>
    <x v="4"/>
    <n v="2"/>
    <n v="2"/>
    <n v="2"/>
  </r>
  <r>
    <n v="48"/>
    <x v="1"/>
    <s v="Travel_Rarely"/>
    <n v="1355"/>
    <x v="1"/>
    <n v="4"/>
    <n v="4"/>
    <s v="Life Sciences"/>
    <n v="1"/>
    <n v="1024"/>
    <x v="1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x v="1"/>
    <x v="15"/>
    <n v="11"/>
    <n v="4"/>
    <n v="8"/>
  </r>
  <r>
    <n v="41"/>
    <x v="1"/>
    <s v="Travel_Rarely"/>
    <n v="549"/>
    <x v="1"/>
    <n v="7"/>
    <n v="2"/>
    <s v="Medical"/>
    <n v="1"/>
    <n v="1025"/>
    <x v="2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x v="1"/>
    <x v="4"/>
    <n v="2"/>
    <n v="2"/>
    <n v="1"/>
  </r>
  <r>
    <n v="39"/>
    <x v="1"/>
    <s v="Travel_Rarely"/>
    <n v="466"/>
    <x v="1"/>
    <n v="1"/>
    <n v="1"/>
    <s v="Life Sciences"/>
    <n v="1"/>
    <n v="1026"/>
    <x v="2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x v="1"/>
    <x v="17"/>
    <n v="6"/>
    <n v="11"/>
    <n v="8"/>
  </r>
  <r>
    <n v="27"/>
    <x v="1"/>
    <s v="Travel_Rarely"/>
    <n v="1055"/>
    <x v="1"/>
    <n v="2"/>
    <n v="4"/>
    <s v="Life Sciences"/>
    <n v="1"/>
    <n v="1027"/>
    <x v="3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x v="1"/>
    <x v="11"/>
    <n v="2"/>
    <n v="2"/>
    <n v="2"/>
  </r>
  <r>
    <n v="35"/>
    <x v="1"/>
    <s v="Travel_Rarely"/>
    <n v="802"/>
    <x v="1"/>
    <n v="10"/>
    <n v="3"/>
    <s v="Other"/>
    <n v="1"/>
    <n v="1028"/>
    <x v="0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x v="2"/>
    <x v="11"/>
    <n v="2"/>
    <n v="1"/>
    <n v="2"/>
  </r>
  <r>
    <n v="42"/>
    <x v="1"/>
    <s v="Travel_Rarely"/>
    <n v="265"/>
    <x v="0"/>
    <n v="5"/>
    <n v="2"/>
    <s v="Marketing"/>
    <n v="1"/>
    <n v="1029"/>
    <x v="2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x v="3"/>
    <x v="6"/>
    <n v="0"/>
    <n v="0"/>
    <n v="0"/>
  </r>
  <r>
    <n v="50"/>
    <x v="1"/>
    <s v="Travel_Rarely"/>
    <n v="804"/>
    <x v="1"/>
    <n v="9"/>
    <n v="3"/>
    <s v="Life Sciences"/>
    <n v="1"/>
    <n v="1030"/>
    <x v="3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x v="1"/>
    <x v="6"/>
    <n v="0"/>
    <n v="0"/>
    <n v="0"/>
  </r>
  <r>
    <n v="59"/>
    <x v="1"/>
    <s v="Travel_Rarely"/>
    <n v="715"/>
    <x v="1"/>
    <n v="2"/>
    <n v="3"/>
    <s v="Life Sciences"/>
    <n v="1"/>
    <n v="1032"/>
    <x v="1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x v="1"/>
    <x v="8"/>
    <n v="3"/>
    <n v="4"/>
    <n v="3"/>
  </r>
  <r>
    <n v="37"/>
    <x v="0"/>
    <s v="Travel_Rarely"/>
    <n v="1141"/>
    <x v="1"/>
    <n v="11"/>
    <n v="2"/>
    <s v="Medical"/>
    <n v="1"/>
    <n v="1033"/>
    <x v="3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x v="0"/>
    <x v="6"/>
    <n v="0"/>
    <n v="0"/>
    <n v="0"/>
  </r>
  <r>
    <n v="55"/>
    <x v="1"/>
    <s v="Travel_Frequently"/>
    <n v="135"/>
    <x v="1"/>
    <n v="18"/>
    <n v="4"/>
    <s v="Medical"/>
    <n v="1"/>
    <n v="1034"/>
    <x v="1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x v="1"/>
    <x v="3"/>
    <n v="7"/>
    <n v="6"/>
    <n v="7"/>
  </r>
  <r>
    <n v="41"/>
    <x v="1"/>
    <s v="Non-Travel"/>
    <n v="247"/>
    <x v="1"/>
    <n v="7"/>
    <n v="1"/>
    <s v="Life Sciences"/>
    <n v="1"/>
    <n v="1035"/>
    <x v="0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x v="1"/>
    <x v="17"/>
    <n v="16"/>
    <n v="5"/>
    <n v="10"/>
  </r>
  <r>
    <n v="38"/>
    <x v="1"/>
    <s v="Travel_Rarely"/>
    <n v="1035"/>
    <x v="0"/>
    <n v="3"/>
    <n v="4"/>
    <s v="Life Sciences"/>
    <n v="1"/>
    <n v="1036"/>
    <x v="0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x v="1"/>
    <x v="6"/>
    <n v="0"/>
    <n v="0"/>
    <n v="0"/>
  </r>
  <r>
    <n v="26"/>
    <x v="0"/>
    <s v="Non-Travel"/>
    <n v="265"/>
    <x v="0"/>
    <n v="29"/>
    <n v="2"/>
    <s v="Medical"/>
    <n v="1"/>
    <n v="1037"/>
    <x v="0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x v="1"/>
    <x v="4"/>
    <n v="2"/>
    <n v="2"/>
    <n v="2"/>
  </r>
  <r>
    <n v="52"/>
    <x v="0"/>
    <s v="Travel_Rarely"/>
    <n v="266"/>
    <x v="0"/>
    <n v="2"/>
    <n v="1"/>
    <s v="Marketing"/>
    <n v="1"/>
    <n v="1038"/>
    <x v="3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x v="1"/>
    <x v="32"/>
    <n v="14"/>
    <n v="6"/>
    <n v="9"/>
  </r>
  <r>
    <n v="44"/>
    <x v="1"/>
    <s v="Travel_Rarely"/>
    <n v="1448"/>
    <x v="0"/>
    <n v="28"/>
    <n v="3"/>
    <s v="Medical"/>
    <n v="1"/>
    <n v="1039"/>
    <x v="2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x v="1"/>
    <x v="12"/>
    <n v="11"/>
    <n v="11"/>
    <n v="11"/>
  </r>
  <r>
    <n v="50"/>
    <x v="1"/>
    <s v="Non-Travel"/>
    <n v="145"/>
    <x v="0"/>
    <n v="1"/>
    <n v="3"/>
    <s v="Life Sciences"/>
    <n v="1"/>
    <n v="1040"/>
    <x v="2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x v="1"/>
    <x v="29"/>
    <n v="7"/>
    <n v="0"/>
    <n v="13"/>
  </r>
  <r>
    <n v="36"/>
    <x v="0"/>
    <s v="Travel_Rarely"/>
    <n v="885"/>
    <x v="1"/>
    <n v="16"/>
    <n v="4"/>
    <s v="Life Sciences"/>
    <n v="1"/>
    <n v="1042"/>
    <x v="1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x v="1"/>
    <x v="18"/>
    <n v="13"/>
    <n v="15"/>
    <n v="14"/>
  </r>
  <r>
    <n v="39"/>
    <x v="1"/>
    <s v="Travel_Frequently"/>
    <n v="945"/>
    <x v="1"/>
    <n v="22"/>
    <n v="3"/>
    <s v="Medical"/>
    <n v="1"/>
    <n v="1043"/>
    <x v="2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x v="1"/>
    <x v="17"/>
    <n v="6"/>
    <n v="2"/>
    <n v="8"/>
  </r>
  <r>
    <n v="33"/>
    <x v="1"/>
    <s v="Non-Travel"/>
    <n v="1038"/>
    <x v="0"/>
    <n v="8"/>
    <n v="1"/>
    <s v="Life Sciences"/>
    <n v="1"/>
    <n v="1044"/>
    <x v="0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x v="2"/>
    <x v="4"/>
    <n v="2"/>
    <n v="2"/>
    <n v="2"/>
  </r>
  <r>
    <n v="45"/>
    <x v="1"/>
    <s v="Travel_Rarely"/>
    <n v="1234"/>
    <x v="0"/>
    <n v="11"/>
    <n v="2"/>
    <s v="Life Sciences"/>
    <n v="1"/>
    <n v="1045"/>
    <x v="2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x v="3"/>
    <x v="7"/>
    <n v="3"/>
    <n v="1"/>
    <n v="1"/>
  </r>
  <r>
    <n v="32"/>
    <x v="1"/>
    <s v="Non-Travel"/>
    <n v="1109"/>
    <x v="1"/>
    <n v="29"/>
    <n v="4"/>
    <s v="Medical"/>
    <n v="1"/>
    <n v="1046"/>
    <x v="2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x v="1"/>
    <x v="3"/>
    <n v="7"/>
    <n v="7"/>
    <n v="7"/>
  </r>
  <r>
    <n v="34"/>
    <x v="1"/>
    <s v="Travel_Rarely"/>
    <n v="216"/>
    <x v="0"/>
    <n v="1"/>
    <n v="4"/>
    <s v="Marketing"/>
    <n v="1"/>
    <n v="1047"/>
    <x v="0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x v="2"/>
    <x v="15"/>
    <n v="1"/>
    <n v="0"/>
    <n v="9"/>
  </r>
  <r>
    <n v="59"/>
    <x v="1"/>
    <s v="Travel_Rarely"/>
    <n v="1089"/>
    <x v="0"/>
    <n v="1"/>
    <n v="2"/>
    <s v="Technical Degree"/>
    <n v="1"/>
    <n v="1048"/>
    <x v="0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x v="0"/>
    <x v="0"/>
    <n v="4"/>
    <n v="0"/>
    <n v="4"/>
  </r>
  <r>
    <n v="45"/>
    <x v="1"/>
    <s v="Travel_Rarely"/>
    <n v="788"/>
    <x v="2"/>
    <n v="24"/>
    <n v="4"/>
    <s v="Medical"/>
    <n v="1"/>
    <n v="1049"/>
    <x v="0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x v="1"/>
    <x v="0"/>
    <n v="3"/>
    <n v="0"/>
    <n v="4"/>
  </r>
  <r>
    <n v="53"/>
    <x v="1"/>
    <s v="Travel_Frequently"/>
    <n v="124"/>
    <x v="0"/>
    <n v="2"/>
    <n v="3"/>
    <s v="Marketing"/>
    <n v="1"/>
    <n v="1050"/>
    <x v="1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x v="1"/>
    <x v="15"/>
    <n v="7"/>
    <n v="6"/>
    <n v="12"/>
  </r>
  <r>
    <n v="36"/>
    <x v="0"/>
    <s v="Travel_Rarely"/>
    <n v="660"/>
    <x v="1"/>
    <n v="15"/>
    <n v="3"/>
    <s v="Other"/>
    <n v="1"/>
    <n v="1052"/>
    <x v="3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x v="2"/>
    <x v="6"/>
    <n v="0"/>
    <n v="0"/>
    <n v="0"/>
  </r>
  <r>
    <n v="26"/>
    <x v="0"/>
    <s v="Travel_Frequently"/>
    <n v="342"/>
    <x v="1"/>
    <n v="2"/>
    <n v="3"/>
    <s v="Life Sciences"/>
    <n v="1"/>
    <n v="1053"/>
    <x v="3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x v="1"/>
    <x v="11"/>
    <n v="2"/>
    <n v="1"/>
    <n v="2"/>
  </r>
  <r>
    <n v="34"/>
    <x v="1"/>
    <s v="Travel_Rarely"/>
    <n v="1333"/>
    <x v="0"/>
    <n v="10"/>
    <n v="4"/>
    <s v="Life Sciences"/>
    <n v="1"/>
    <n v="1055"/>
    <x v="1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x v="1"/>
    <x v="6"/>
    <n v="1"/>
    <n v="0"/>
    <n v="0"/>
  </r>
  <r>
    <n v="28"/>
    <x v="1"/>
    <s v="Travel_Rarely"/>
    <n v="1144"/>
    <x v="0"/>
    <n v="10"/>
    <n v="1"/>
    <s v="Medical"/>
    <n v="1"/>
    <n v="1056"/>
    <x v="2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x v="1"/>
    <x v="6"/>
    <n v="0"/>
    <n v="0"/>
    <n v="0"/>
  </r>
  <r>
    <n v="38"/>
    <x v="1"/>
    <s v="Travel_Frequently"/>
    <n v="1186"/>
    <x v="1"/>
    <n v="3"/>
    <n v="4"/>
    <s v="Other"/>
    <n v="1"/>
    <n v="1060"/>
    <x v="1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x v="1"/>
    <x v="4"/>
    <n v="2"/>
    <n v="2"/>
    <n v="2"/>
  </r>
  <r>
    <n v="50"/>
    <x v="1"/>
    <s v="Travel_Rarely"/>
    <n v="1464"/>
    <x v="1"/>
    <n v="2"/>
    <n v="4"/>
    <s v="Medical"/>
    <n v="1"/>
    <n v="1061"/>
    <x v="0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x v="2"/>
    <x v="3"/>
    <n v="1"/>
    <n v="7"/>
    <n v="7"/>
  </r>
  <r>
    <n v="37"/>
    <x v="1"/>
    <s v="Travel_Rarely"/>
    <n v="124"/>
    <x v="1"/>
    <n v="3"/>
    <n v="3"/>
    <s v="Other"/>
    <n v="1"/>
    <n v="1062"/>
    <x v="2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x v="2"/>
    <x v="9"/>
    <n v="3"/>
    <n v="0"/>
    <n v="1"/>
  </r>
  <r>
    <n v="40"/>
    <x v="1"/>
    <s v="Travel_Rarely"/>
    <n v="300"/>
    <x v="0"/>
    <n v="26"/>
    <n v="3"/>
    <s v="Marketing"/>
    <n v="1"/>
    <n v="1066"/>
    <x v="1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x v="2"/>
    <x v="5"/>
    <n v="7"/>
    <n v="7"/>
    <n v="5"/>
  </r>
  <r>
    <n v="26"/>
    <x v="1"/>
    <s v="Travel_Frequently"/>
    <n v="921"/>
    <x v="1"/>
    <n v="1"/>
    <n v="1"/>
    <s v="Medical"/>
    <n v="1"/>
    <n v="1068"/>
    <x v="3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x v="1"/>
    <x v="8"/>
    <n v="3"/>
    <n v="1"/>
    <n v="3"/>
  </r>
  <r>
    <n v="46"/>
    <x v="1"/>
    <s v="Travel_Rarely"/>
    <n v="430"/>
    <x v="1"/>
    <n v="1"/>
    <n v="4"/>
    <s v="Medical"/>
    <n v="1"/>
    <n v="1069"/>
    <x v="2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x v="1"/>
    <x v="4"/>
    <n v="2"/>
    <n v="2"/>
    <n v="2"/>
  </r>
  <r>
    <n v="54"/>
    <x v="1"/>
    <s v="Travel_Rarely"/>
    <n v="1082"/>
    <x v="0"/>
    <n v="2"/>
    <n v="4"/>
    <s v="Life Sciences"/>
    <n v="1"/>
    <n v="1070"/>
    <x v="1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x v="1"/>
    <x v="7"/>
    <n v="4"/>
    <n v="7"/>
    <n v="0"/>
  </r>
  <r>
    <n v="56"/>
    <x v="1"/>
    <s v="Travel_Frequently"/>
    <n v="1240"/>
    <x v="1"/>
    <n v="9"/>
    <n v="3"/>
    <s v="Medical"/>
    <n v="1"/>
    <n v="1071"/>
    <x v="3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x v="1"/>
    <x v="8"/>
    <n v="4"/>
    <n v="0"/>
    <n v="3"/>
  </r>
  <r>
    <n v="36"/>
    <x v="1"/>
    <s v="Travel_Rarely"/>
    <n v="796"/>
    <x v="1"/>
    <n v="12"/>
    <n v="5"/>
    <s v="Medical"/>
    <n v="1"/>
    <n v="1073"/>
    <x v="2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x v="2"/>
    <x v="13"/>
    <n v="8"/>
    <n v="7"/>
    <n v="8"/>
  </r>
  <r>
    <n v="55"/>
    <x v="1"/>
    <s v="Non-Travel"/>
    <n v="444"/>
    <x v="1"/>
    <n v="2"/>
    <n v="1"/>
    <s v="Medical"/>
    <n v="1"/>
    <n v="1074"/>
    <x v="1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x v="3"/>
    <x v="7"/>
    <n v="7"/>
    <n v="6"/>
    <n v="2"/>
  </r>
  <r>
    <n v="43"/>
    <x v="1"/>
    <s v="Travel_Rarely"/>
    <n v="415"/>
    <x v="0"/>
    <n v="25"/>
    <n v="3"/>
    <s v="Medical"/>
    <n v="1"/>
    <n v="1076"/>
    <x v="1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x v="1"/>
    <x v="6"/>
    <n v="0"/>
    <n v="0"/>
    <n v="0"/>
  </r>
  <r>
    <n v="20"/>
    <x v="0"/>
    <s v="Travel_Frequently"/>
    <n v="769"/>
    <x v="0"/>
    <n v="9"/>
    <n v="3"/>
    <s v="Marketing"/>
    <n v="1"/>
    <n v="1077"/>
    <x v="2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x v="1"/>
    <x v="4"/>
    <n v="2"/>
    <n v="0"/>
    <n v="2"/>
  </r>
  <r>
    <n v="21"/>
    <x v="0"/>
    <s v="Travel_Rarely"/>
    <n v="1334"/>
    <x v="1"/>
    <n v="10"/>
    <n v="3"/>
    <s v="Life Sciences"/>
    <n v="1"/>
    <n v="1079"/>
    <x v="1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x v="2"/>
    <x v="6"/>
    <n v="0"/>
    <n v="1"/>
    <n v="0"/>
  </r>
  <r>
    <n v="46"/>
    <x v="1"/>
    <s v="Travel_Rarely"/>
    <n v="1003"/>
    <x v="1"/>
    <n v="8"/>
    <n v="4"/>
    <s v="Life Sciences"/>
    <n v="1"/>
    <n v="1080"/>
    <x v="2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x v="1"/>
    <x v="22"/>
    <n v="13"/>
    <n v="1"/>
    <n v="7"/>
  </r>
  <r>
    <n v="51"/>
    <x v="0"/>
    <s v="Travel_Rarely"/>
    <n v="1323"/>
    <x v="1"/>
    <n v="4"/>
    <n v="4"/>
    <s v="Life Sciences"/>
    <n v="1"/>
    <n v="1081"/>
    <x v="3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x v="3"/>
    <x v="1"/>
    <n v="0"/>
    <n v="2"/>
    <n v="7"/>
  </r>
  <r>
    <n v="28"/>
    <x v="0"/>
    <s v="Non-Travel"/>
    <n v="1366"/>
    <x v="1"/>
    <n v="24"/>
    <n v="2"/>
    <s v="Technical Degree"/>
    <n v="1"/>
    <n v="1082"/>
    <x v="0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x v="2"/>
    <x v="1"/>
    <n v="7"/>
    <n v="1"/>
    <n v="9"/>
  </r>
  <r>
    <n v="26"/>
    <x v="1"/>
    <s v="Travel_Rarely"/>
    <n v="192"/>
    <x v="1"/>
    <n v="1"/>
    <n v="2"/>
    <s v="Medical"/>
    <n v="1"/>
    <n v="1083"/>
    <x v="3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x v="1"/>
    <x v="8"/>
    <n v="3"/>
    <n v="1"/>
    <n v="3"/>
  </r>
  <r>
    <n v="30"/>
    <x v="1"/>
    <s v="Travel_Rarely"/>
    <n v="1176"/>
    <x v="1"/>
    <n v="20"/>
    <n v="3"/>
    <s v="Other"/>
    <n v="1"/>
    <n v="1084"/>
    <x v="1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x v="2"/>
    <x v="0"/>
    <n v="2"/>
    <n v="0"/>
    <n v="2"/>
  </r>
  <r>
    <n v="41"/>
    <x v="1"/>
    <s v="Travel_Rarely"/>
    <n v="509"/>
    <x v="1"/>
    <n v="7"/>
    <n v="2"/>
    <s v="Technical Degree"/>
    <n v="1"/>
    <n v="1085"/>
    <x v="0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x v="1"/>
    <x v="1"/>
    <n v="6"/>
    <n v="0"/>
    <n v="8"/>
  </r>
  <r>
    <n v="38"/>
    <x v="1"/>
    <s v="Travel_Rarely"/>
    <n v="330"/>
    <x v="1"/>
    <n v="17"/>
    <n v="1"/>
    <s v="Life Sciences"/>
    <n v="1"/>
    <n v="1088"/>
    <x v="1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x v="2"/>
    <x v="27"/>
    <n v="9"/>
    <n v="1"/>
    <n v="9"/>
  </r>
  <r>
    <n v="40"/>
    <x v="1"/>
    <s v="Travel_Rarely"/>
    <n v="1492"/>
    <x v="1"/>
    <n v="20"/>
    <n v="4"/>
    <s v="Technical Degree"/>
    <n v="1"/>
    <n v="1092"/>
    <x v="3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x v="1"/>
    <x v="19"/>
    <n v="10"/>
    <n v="11"/>
    <n v="1"/>
  </r>
  <r>
    <n v="27"/>
    <x v="1"/>
    <s v="Non-Travel"/>
    <n v="1277"/>
    <x v="1"/>
    <n v="8"/>
    <n v="5"/>
    <s v="Life Sciences"/>
    <n v="1"/>
    <n v="1094"/>
    <x v="3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x v="1"/>
    <x v="11"/>
    <n v="2"/>
    <n v="1"/>
    <n v="2"/>
  </r>
  <r>
    <n v="55"/>
    <x v="1"/>
    <s v="Travel_Frequently"/>
    <n v="1091"/>
    <x v="1"/>
    <n v="2"/>
    <n v="1"/>
    <s v="Life Sciences"/>
    <n v="1"/>
    <n v="1096"/>
    <x v="2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x v="1"/>
    <x v="11"/>
    <n v="2"/>
    <n v="1"/>
    <n v="2"/>
  </r>
  <r>
    <n v="28"/>
    <x v="1"/>
    <s v="Travel_Rarely"/>
    <n v="857"/>
    <x v="1"/>
    <n v="10"/>
    <n v="3"/>
    <s v="Other"/>
    <n v="1"/>
    <n v="1097"/>
    <x v="1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x v="3"/>
    <x v="3"/>
    <n v="7"/>
    <n v="1"/>
    <n v="7"/>
  </r>
  <r>
    <n v="44"/>
    <x v="0"/>
    <s v="Travel_Rarely"/>
    <n v="1376"/>
    <x v="2"/>
    <n v="1"/>
    <n v="2"/>
    <s v="Medical"/>
    <n v="1"/>
    <n v="1098"/>
    <x v="0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x v="1"/>
    <x v="23"/>
    <n v="6"/>
    <n v="3"/>
    <n v="6"/>
  </r>
  <r>
    <n v="33"/>
    <x v="1"/>
    <s v="Travel_Rarely"/>
    <n v="654"/>
    <x v="1"/>
    <n v="5"/>
    <n v="3"/>
    <s v="Life Sciences"/>
    <n v="1"/>
    <n v="1099"/>
    <x v="2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x v="1"/>
    <x v="11"/>
    <n v="2"/>
    <n v="1"/>
    <n v="2"/>
  </r>
  <r>
    <n v="35"/>
    <x v="0"/>
    <s v="Travel_Rarely"/>
    <n v="1204"/>
    <x v="0"/>
    <n v="4"/>
    <n v="3"/>
    <s v="Technical Degree"/>
    <n v="1"/>
    <n v="1100"/>
    <x v="2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x v="1"/>
    <x v="3"/>
    <n v="7"/>
    <n v="4"/>
    <n v="7"/>
  </r>
  <r>
    <n v="33"/>
    <x v="0"/>
    <s v="Travel_Frequently"/>
    <n v="827"/>
    <x v="1"/>
    <n v="29"/>
    <n v="4"/>
    <s v="Medical"/>
    <n v="1"/>
    <n v="1101"/>
    <x v="3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x v="1"/>
    <x v="20"/>
    <n v="7"/>
    <n v="3"/>
    <n v="8"/>
  </r>
  <r>
    <n v="28"/>
    <x v="1"/>
    <s v="Travel_Rarely"/>
    <n v="895"/>
    <x v="1"/>
    <n v="15"/>
    <n v="2"/>
    <s v="Life Sciences"/>
    <n v="1"/>
    <n v="1102"/>
    <x v="3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x v="2"/>
    <x v="9"/>
    <n v="2"/>
    <n v="2"/>
    <n v="2"/>
  </r>
  <r>
    <n v="34"/>
    <x v="1"/>
    <s v="Travel_Frequently"/>
    <n v="618"/>
    <x v="1"/>
    <n v="3"/>
    <n v="1"/>
    <s v="Life Sciences"/>
    <n v="1"/>
    <n v="1103"/>
    <x v="3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x v="2"/>
    <x v="0"/>
    <n v="2"/>
    <n v="0"/>
    <n v="4"/>
  </r>
  <r>
    <n v="37"/>
    <x v="1"/>
    <s v="Travel_Rarely"/>
    <n v="309"/>
    <x v="0"/>
    <n v="10"/>
    <n v="4"/>
    <s v="Life Sciences"/>
    <n v="1"/>
    <n v="1105"/>
    <x v="2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x v="1"/>
    <x v="6"/>
    <n v="0"/>
    <n v="0"/>
    <n v="0"/>
  </r>
  <r>
    <n v="25"/>
    <x v="0"/>
    <s v="Travel_Rarely"/>
    <n v="1219"/>
    <x v="1"/>
    <n v="4"/>
    <n v="1"/>
    <s v="Technical Degree"/>
    <n v="1"/>
    <n v="1106"/>
    <x v="2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x v="3"/>
    <x v="5"/>
    <n v="7"/>
    <n v="5"/>
    <n v="6"/>
  </r>
  <r>
    <n v="26"/>
    <x v="0"/>
    <s v="Travel_Rarely"/>
    <n v="1330"/>
    <x v="1"/>
    <n v="21"/>
    <n v="3"/>
    <s v="Medical"/>
    <n v="1"/>
    <n v="1107"/>
    <x v="3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x v="2"/>
    <x v="6"/>
    <n v="1"/>
    <n v="0"/>
    <n v="0"/>
  </r>
  <r>
    <n v="33"/>
    <x v="0"/>
    <s v="Travel_Rarely"/>
    <n v="1017"/>
    <x v="1"/>
    <n v="25"/>
    <n v="3"/>
    <s v="Medical"/>
    <n v="1"/>
    <n v="1108"/>
    <x v="3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x v="1"/>
    <x v="4"/>
    <n v="2"/>
    <n v="2"/>
    <n v="2"/>
  </r>
  <r>
    <n v="42"/>
    <x v="1"/>
    <s v="Travel_Rarely"/>
    <n v="469"/>
    <x v="1"/>
    <n v="2"/>
    <n v="2"/>
    <s v="Medical"/>
    <n v="1"/>
    <n v="1109"/>
    <x v="2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x v="1"/>
    <x v="14"/>
    <n v="6"/>
    <n v="13"/>
    <n v="7"/>
  </r>
  <r>
    <n v="28"/>
    <x v="0"/>
    <s v="Travel_Frequently"/>
    <n v="1009"/>
    <x v="1"/>
    <n v="1"/>
    <n v="3"/>
    <s v="Medical"/>
    <n v="1"/>
    <n v="1111"/>
    <x v="3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x v="1"/>
    <x v="6"/>
    <n v="0"/>
    <n v="0"/>
    <n v="0"/>
  </r>
  <r>
    <n v="50"/>
    <x v="0"/>
    <s v="Travel_Frequently"/>
    <n v="959"/>
    <x v="0"/>
    <n v="1"/>
    <n v="4"/>
    <s v="Other"/>
    <n v="1"/>
    <n v="1113"/>
    <x v="2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x v="1"/>
    <x v="2"/>
    <n v="0"/>
    <n v="0"/>
    <n v="0"/>
  </r>
  <r>
    <n v="33"/>
    <x v="1"/>
    <s v="Travel_Frequently"/>
    <n v="970"/>
    <x v="0"/>
    <n v="7"/>
    <n v="3"/>
    <s v="Life Sciences"/>
    <n v="1"/>
    <n v="1114"/>
    <x v="2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x v="1"/>
    <x v="11"/>
    <n v="2"/>
    <n v="0"/>
    <n v="2"/>
  </r>
  <r>
    <n v="34"/>
    <x v="1"/>
    <s v="Non-Travel"/>
    <n v="697"/>
    <x v="1"/>
    <n v="3"/>
    <n v="4"/>
    <s v="Life Sciences"/>
    <n v="1"/>
    <n v="1115"/>
    <x v="1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x v="1"/>
    <x v="2"/>
    <n v="0"/>
    <n v="0"/>
    <n v="0"/>
  </r>
  <r>
    <n v="48"/>
    <x v="1"/>
    <s v="Non-Travel"/>
    <n v="1262"/>
    <x v="1"/>
    <n v="1"/>
    <n v="4"/>
    <s v="Medical"/>
    <n v="1"/>
    <n v="1116"/>
    <x v="3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x v="2"/>
    <x v="8"/>
    <n v="4"/>
    <n v="2"/>
    <n v="1"/>
  </r>
  <r>
    <n v="45"/>
    <x v="1"/>
    <s v="Non-Travel"/>
    <n v="1050"/>
    <x v="0"/>
    <n v="9"/>
    <n v="4"/>
    <s v="Life Sciences"/>
    <n v="1"/>
    <n v="1117"/>
    <x v="0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x v="1"/>
    <x v="15"/>
    <n v="10"/>
    <n v="4"/>
    <n v="12"/>
  </r>
  <r>
    <n v="52"/>
    <x v="1"/>
    <s v="Travel_Rarely"/>
    <n v="994"/>
    <x v="1"/>
    <n v="7"/>
    <n v="4"/>
    <s v="Life Sciences"/>
    <n v="1"/>
    <n v="1118"/>
    <x v="0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x v="1"/>
    <x v="3"/>
    <n v="6"/>
    <n v="4"/>
    <n v="0"/>
  </r>
  <r>
    <n v="38"/>
    <x v="1"/>
    <s v="Travel_Rarely"/>
    <n v="770"/>
    <x v="0"/>
    <n v="10"/>
    <n v="4"/>
    <s v="Marketing"/>
    <n v="1"/>
    <n v="1119"/>
    <x v="1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x v="1"/>
    <x v="3"/>
    <n v="7"/>
    <n v="2"/>
    <n v="7"/>
  </r>
  <r>
    <n v="29"/>
    <x v="1"/>
    <s v="Travel_Rarely"/>
    <n v="1107"/>
    <x v="1"/>
    <n v="28"/>
    <n v="4"/>
    <s v="Life Sciences"/>
    <n v="1"/>
    <n v="1120"/>
    <x v="1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x v="1"/>
    <x v="5"/>
    <n v="5"/>
    <n v="1"/>
    <n v="7"/>
  </r>
  <r>
    <n v="28"/>
    <x v="1"/>
    <s v="Travel_Rarely"/>
    <n v="950"/>
    <x v="1"/>
    <n v="3"/>
    <n v="3"/>
    <s v="Medical"/>
    <n v="1"/>
    <n v="1121"/>
    <x v="2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x v="2"/>
    <x v="7"/>
    <n v="7"/>
    <n v="1"/>
    <n v="7"/>
  </r>
  <r>
    <n v="46"/>
    <x v="1"/>
    <s v="Travel_Rarely"/>
    <n v="406"/>
    <x v="0"/>
    <n v="3"/>
    <n v="1"/>
    <s v="Marketing"/>
    <n v="1"/>
    <n v="1124"/>
    <x v="3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x v="1"/>
    <x v="12"/>
    <n v="9"/>
    <n v="4"/>
    <n v="9"/>
  </r>
  <r>
    <n v="38"/>
    <x v="1"/>
    <s v="Travel_Rarely"/>
    <n v="130"/>
    <x v="0"/>
    <n v="2"/>
    <n v="2"/>
    <s v="Marketing"/>
    <n v="1"/>
    <n v="1125"/>
    <x v="2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x v="1"/>
    <x v="6"/>
    <n v="0"/>
    <n v="0"/>
    <n v="0"/>
  </r>
  <r>
    <n v="43"/>
    <x v="1"/>
    <s v="Travel_Frequently"/>
    <n v="1082"/>
    <x v="1"/>
    <n v="27"/>
    <n v="3"/>
    <s v="Life Sciences"/>
    <n v="1"/>
    <n v="1126"/>
    <x v="1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x v="1"/>
    <x v="3"/>
    <n v="7"/>
    <n v="0"/>
    <n v="1"/>
  </r>
  <r>
    <n v="39"/>
    <x v="0"/>
    <s v="Travel_Frequently"/>
    <n v="203"/>
    <x v="1"/>
    <n v="2"/>
    <n v="3"/>
    <s v="Life Sciences"/>
    <n v="1"/>
    <n v="1127"/>
    <x v="3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x v="1"/>
    <x v="29"/>
    <n v="7"/>
    <n v="11"/>
    <n v="5"/>
  </r>
  <r>
    <n v="40"/>
    <x v="1"/>
    <s v="Travel_Rarely"/>
    <n v="1308"/>
    <x v="1"/>
    <n v="14"/>
    <n v="3"/>
    <s v="Medical"/>
    <n v="1"/>
    <n v="1128"/>
    <x v="1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x v="3"/>
    <x v="23"/>
    <n v="7"/>
    <n v="4"/>
    <n v="9"/>
  </r>
  <r>
    <n v="21"/>
    <x v="1"/>
    <s v="Travel_Rarely"/>
    <n v="984"/>
    <x v="1"/>
    <n v="1"/>
    <n v="1"/>
    <s v="Technical Degree"/>
    <n v="1"/>
    <n v="1131"/>
    <x v="2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x v="3"/>
    <x v="4"/>
    <n v="2"/>
    <n v="2"/>
    <n v="2"/>
  </r>
  <r>
    <n v="39"/>
    <x v="1"/>
    <s v="Non-Travel"/>
    <n v="439"/>
    <x v="1"/>
    <n v="9"/>
    <n v="3"/>
    <s v="Life Sciences"/>
    <n v="1"/>
    <n v="1132"/>
    <x v="1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x v="2"/>
    <x v="8"/>
    <n v="4"/>
    <n v="0"/>
    <n v="3"/>
  </r>
  <r>
    <n v="36"/>
    <x v="1"/>
    <s v="Non-Travel"/>
    <n v="217"/>
    <x v="1"/>
    <n v="18"/>
    <n v="4"/>
    <s v="Life Sciences"/>
    <n v="1"/>
    <n v="1133"/>
    <x v="3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x v="1"/>
    <x v="19"/>
    <n v="9"/>
    <n v="0"/>
    <n v="9"/>
  </r>
  <r>
    <n v="31"/>
    <x v="1"/>
    <s v="Travel_Frequently"/>
    <n v="793"/>
    <x v="0"/>
    <n v="20"/>
    <n v="3"/>
    <s v="Life Sciences"/>
    <n v="1"/>
    <n v="1135"/>
    <x v="1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x v="1"/>
    <x v="4"/>
    <n v="2"/>
    <n v="2"/>
    <n v="2"/>
  </r>
  <r>
    <n v="28"/>
    <x v="1"/>
    <s v="Travel_Rarely"/>
    <n v="1451"/>
    <x v="1"/>
    <n v="2"/>
    <n v="1"/>
    <s v="Life Sciences"/>
    <n v="1"/>
    <n v="1136"/>
    <x v="3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x v="0"/>
    <x v="8"/>
    <n v="3"/>
    <n v="0"/>
    <n v="4"/>
  </r>
  <r>
    <n v="35"/>
    <x v="1"/>
    <s v="Travel_Frequently"/>
    <n v="1182"/>
    <x v="0"/>
    <n v="11"/>
    <n v="2"/>
    <s v="Marketing"/>
    <n v="1"/>
    <n v="1137"/>
    <x v="2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x v="1"/>
    <x v="8"/>
    <n v="2"/>
    <n v="0"/>
    <n v="2"/>
  </r>
  <r>
    <n v="49"/>
    <x v="1"/>
    <s v="Travel_Rarely"/>
    <n v="174"/>
    <x v="0"/>
    <n v="8"/>
    <n v="4"/>
    <s v="Technical Degree"/>
    <n v="1"/>
    <n v="1138"/>
    <x v="2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x v="1"/>
    <x v="7"/>
    <n v="8"/>
    <n v="2"/>
    <n v="3"/>
  </r>
  <r>
    <n v="34"/>
    <x v="1"/>
    <s v="Travel_Frequently"/>
    <n v="1003"/>
    <x v="1"/>
    <n v="2"/>
    <n v="2"/>
    <s v="Life Sciences"/>
    <n v="1"/>
    <n v="1140"/>
    <x v="2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x v="2"/>
    <x v="11"/>
    <n v="2"/>
    <n v="0"/>
    <n v="2"/>
  </r>
  <r>
    <n v="29"/>
    <x v="1"/>
    <s v="Travel_Frequently"/>
    <n v="490"/>
    <x v="1"/>
    <n v="10"/>
    <n v="3"/>
    <s v="Life Sciences"/>
    <n v="1"/>
    <n v="1143"/>
    <x v="2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x v="2"/>
    <x v="5"/>
    <n v="5"/>
    <n v="1"/>
    <n v="1"/>
  </r>
  <r>
    <n v="42"/>
    <x v="1"/>
    <s v="Travel_Rarely"/>
    <n v="188"/>
    <x v="1"/>
    <n v="29"/>
    <n v="3"/>
    <s v="Medical"/>
    <n v="1"/>
    <n v="1148"/>
    <x v="0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x v="1"/>
    <x v="6"/>
    <n v="0"/>
    <n v="0"/>
    <n v="0"/>
  </r>
  <r>
    <n v="29"/>
    <x v="1"/>
    <s v="Travel_Rarely"/>
    <n v="718"/>
    <x v="1"/>
    <n v="8"/>
    <n v="1"/>
    <s v="Medical"/>
    <n v="1"/>
    <n v="1150"/>
    <x v="0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x v="2"/>
    <x v="1"/>
    <n v="7"/>
    <n v="1"/>
    <n v="2"/>
  </r>
  <r>
    <n v="38"/>
    <x v="1"/>
    <s v="Travel_Rarely"/>
    <n v="433"/>
    <x v="2"/>
    <n v="1"/>
    <n v="3"/>
    <s v="Human Resources"/>
    <n v="1"/>
    <n v="1152"/>
    <x v="1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x v="3"/>
    <x v="5"/>
    <n v="6"/>
    <n v="5"/>
    <n v="0"/>
  </r>
  <r>
    <n v="28"/>
    <x v="1"/>
    <s v="Travel_Frequently"/>
    <n v="773"/>
    <x v="1"/>
    <n v="6"/>
    <n v="3"/>
    <s v="Life Sciences"/>
    <n v="1"/>
    <n v="1154"/>
    <x v="1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x v="1"/>
    <x v="11"/>
    <n v="1"/>
    <n v="0"/>
    <n v="2"/>
  </r>
  <r>
    <n v="18"/>
    <x v="0"/>
    <s v="Non-Travel"/>
    <n v="247"/>
    <x v="1"/>
    <n v="8"/>
    <n v="1"/>
    <s v="Medical"/>
    <n v="1"/>
    <n v="1156"/>
    <x v="1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x v="1"/>
    <x v="2"/>
    <n v="0"/>
    <n v="0"/>
    <n v="0"/>
  </r>
  <r>
    <n v="33"/>
    <x v="0"/>
    <s v="Travel_Rarely"/>
    <n v="603"/>
    <x v="0"/>
    <n v="9"/>
    <n v="4"/>
    <s v="Marketing"/>
    <n v="1"/>
    <n v="1157"/>
    <x v="3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x v="1"/>
    <x v="8"/>
    <n v="2"/>
    <n v="0"/>
    <n v="3"/>
  </r>
  <r>
    <n v="41"/>
    <x v="1"/>
    <s v="Travel_Rarely"/>
    <n v="167"/>
    <x v="1"/>
    <n v="12"/>
    <n v="4"/>
    <s v="Life Sciences"/>
    <n v="1"/>
    <n v="1158"/>
    <x v="0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x v="1"/>
    <x v="6"/>
    <n v="0"/>
    <n v="0"/>
    <n v="0"/>
  </r>
  <r>
    <n v="31"/>
    <x v="0"/>
    <s v="Travel_Frequently"/>
    <n v="874"/>
    <x v="1"/>
    <n v="15"/>
    <n v="3"/>
    <s v="Medical"/>
    <n v="1"/>
    <n v="1160"/>
    <x v="1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x v="2"/>
    <x v="4"/>
    <n v="2"/>
    <n v="2"/>
    <n v="2"/>
  </r>
  <r>
    <n v="37"/>
    <x v="1"/>
    <s v="Travel_Rarely"/>
    <n v="367"/>
    <x v="1"/>
    <n v="25"/>
    <n v="2"/>
    <s v="Medical"/>
    <n v="1"/>
    <n v="1161"/>
    <x v="1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x v="1"/>
    <x v="0"/>
    <n v="2"/>
    <n v="1"/>
    <n v="3"/>
  </r>
  <r>
    <n v="27"/>
    <x v="1"/>
    <s v="Travel_Rarely"/>
    <n v="199"/>
    <x v="1"/>
    <n v="6"/>
    <n v="3"/>
    <s v="Life Sciences"/>
    <n v="1"/>
    <n v="1162"/>
    <x v="2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x v="1"/>
    <x v="9"/>
    <n v="2"/>
    <n v="2"/>
    <n v="2"/>
  </r>
  <r>
    <n v="34"/>
    <x v="1"/>
    <s v="Travel_Rarely"/>
    <n v="1400"/>
    <x v="0"/>
    <n v="9"/>
    <n v="1"/>
    <s v="Life Sciences"/>
    <n v="1"/>
    <n v="1163"/>
    <x v="0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x v="2"/>
    <x v="0"/>
    <n v="5"/>
    <n v="1"/>
    <n v="3"/>
  </r>
  <r>
    <n v="35"/>
    <x v="1"/>
    <s v="Travel_Rarely"/>
    <n v="528"/>
    <x v="2"/>
    <n v="8"/>
    <n v="4"/>
    <s v="Technical Degree"/>
    <n v="1"/>
    <n v="1164"/>
    <x v="1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x v="0"/>
    <x v="8"/>
    <n v="4"/>
    <n v="1"/>
    <n v="4"/>
  </r>
  <r>
    <n v="29"/>
    <x v="0"/>
    <s v="Travel_Rarely"/>
    <n v="408"/>
    <x v="0"/>
    <n v="23"/>
    <n v="1"/>
    <s v="Life Sciences"/>
    <n v="1"/>
    <n v="1165"/>
    <x v="2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x v="0"/>
    <x v="19"/>
    <n v="8"/>
    <n v="3"/>
    <n v="10"/>
  </r>
  <r>
    <n v="40"/>
    <x v="1"/>
    <s v="Travel_Frequently"/>
    <n v="593"/>
    <x v="1"/>
    <n v="9"/>
    <n v="4"/>
    <s v="Medical"/>
    <n v="1"/>
    <n v="1166"/>
    <x v="0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x v="2"/>
    <x v="29"/>
    <n v="7"/>
    <n v="2"/>
    <n v="13"/>
  </r>
  <r>
    <n v="42"/>
    <x v="0"/>
    <s v="Travel_Frequently"/>
    <n v="481"/>
    <x v="0"/>
    <n v="12"/>
    <n v="3"/>
    <s v="Life Sciences"/>
    <n v="1"/>
    <n v="1167"/>
    <x v="1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x v="2"/>
    <x v="17"/>
    <n v="9"/>
    <n v="13"/>
    <n v="14"/>
  </r>
  <r>
    <n v="42"/>
    <x v="1"/>
    <s v="Travel_Rarely"/>
    <n v="647"/>
    <x v="0"/>
    <n v="4"/>
    <n v="4"/>
    <s v="Marketing"/>
    <n v="1"/>
    <n v="1171"/>
    <x v="0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x v="3"/>
    <x v="0"/>
    <n v="4"/>
    <n v="1"/>
    <n v="5"/>
  </r>
  <r>
    <n v="35"/>
    <x v="1"/>
    <s v="Travel_Rarely"/>
    <n v="982"/>
    <x v="1"/>
    <n v="1"/>
    <n v="4"/>
    <s v="Medical"/>
    <n v="1"/>
    <n v="1172"/>
    <x v="2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x v="1"/>
    <x v="3"/>
    <n v="0"/>
    <n v="1"/>
    <n v="7"/>
  </r>
  <r>
    <n v="24"/>
    <x v="1"/>
    <s v="Travel_Rarely"/>
    <n v="477"/>
    <x v="1"/>
    <n v="24"/>
    <n v="3"/>
    <s v="Medical"/>
    <n v="1"/>
    <n v="1173"/>
    <x v="2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x v="1"/>
    <x v="9"/>
    <n v="3"/>
    <n v="1"/>
    <n v="2"/>
  </r>
  <r>
    <n v="28"/>
    <x v="0"/>
    <s v="Travel_Rarely"/>
    <n v="1485"/>
    <x v="1"/>
    <n v="12"/>
    <n v="1"/>
    <s v="Life Sciences"/>
    <n v="1"/>
    <n v="1175"/>
    <x v="1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x v="2"/>
    <x v="6"/>
    <n v="1"/>
    <n v="0"/>
    <n v="0"/>
  </r>
  <r>
    <n v="26"/>
    <x v="1"/>
    <s v="Travel_Rarely"/>
    <n v="1384"/>
    <x v="1"/>
    <n v="3"/>
    <n v="4"/>
    <s v="Medical"/>
    <n v="1"/>
    <n v="1177"/>
    <x v="3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x v="1"/>
    <x v="3"/>
    <n v="7"/>
    <n v="0"/>
    <n v="7"/>
  </r>
  <r>
    <n v="30"/>
    <x v="1"/>
    <s v="Travel_Rarely"/>
    <n v="852"/>
    <x v="0"/>
    <n v="10"/>
    <n v="3"/>
    <s v="Marketing"/>
    <n v="1"/>
    <n v="1179"/>
    <x v="1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x v="1"/>
    <x v="1"/>
    <n v="3"/>
    <n v="1"/>
    <n v="4"/>
  </r>
  <r>
    <n v="40"/>
    <x v="1"/>
    <s v="Travel_Frequently"/>
    <n v="902"/>
    <x v="1"/>
    <n v="26"/>
    <n v="2"/>
    <s v="Medical"/>
    <n v="1"/>
    <n v="1180"/>
    <x v="1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x v="0"/>
    <x v="6"/>
    <n v="1"/>
    <n v="0"/>
    <n v="0"/>
  </r>
  <r>
    <n v="35"/>
    <x v="1"/>
    <s v="Travel_Rarely"/>
    <n v="819"/>
    <x v="1"/>
    <n v="2"/>
    <n v="3"/>
    <s v="Life Sciences"/>
    <n v="1"/>
    <n v="1182"/>
    <x v="1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x v="3"/>
    <x v="5"/>
    <n v="7"/>
    <n v="6"/>
    <n v="4"/>
  </r>
  <r>
    <n v="34"/>
    <x v="1"/>
    <s v="Travel_Frequently"/>
    <n v="669"/>
    <x v="1"/>
    <n v="1"/>
    <n v="3"/>
    <s v="Medical"/>
    <n v="1"/>
    <n v="1184"/>
    <x v="2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x v="1"/>
    <x v="20"/>
    <n v="9"/>
    <n v="4"/>
    <n v="9"/>
  </r>
  <r>
    <n v="35"/>
    <x v="1"/>
    <s v="Travel_Frequently"/>
    <n v="636"/>
    <x v="1"/>
    <n v="4"/>
    <n v="4"/>
    <s v="Other"/>
    <n v="1"/>
    <n v="1185"/>
    <x v="2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x v="3"/>
    <x v="4"/>
    <n v="2"/>
    <n v="2"/>
    <n v="2"/>
  </r>
  <r>
    <n v="43"/>
    <x v="0"/>
    <s v="Travel_Rarely"/>
    <n v="1372"/>
    <x v="0"/>
    <n v="9"/>
    <n v="3"/>
    <s v="Marketing"/>
    <n v="1"/>
    <n v="1188"/>
    <x v="3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x v="2"/>
    <x v="9"/>
    <n v="3"/>
    <n v="1"/>
    <n v="3"/>
  </r>
  <r>
    <n v="32"/>
    <x v="1"/>
    <s v="Non-Travel"/>
    <n v="862"/>
    <x v="0"/>
    <n v="2"/>
    <n v="1"/>
    <s v="Life Sciences"/>
    <n v="1"/>
    <n v="1190"/>
    <x v="1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x v="1"/>
    <x v="6"/>
    <n v="0"/>
    <n v="0"/>
    <n v="0"/>
  </r>
  <r>
    <n v="56"/>
    <x v="1"/>
    <s v="Travel_Rarely"/>
    <n v="718"/>
    <x v="1"/>
    <n v="4"/>
    <n v="4"/>
    <s v="Technical Degree"/>
    <n v="1"/>
    <n v="1191"/>
    <x v="2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x v="1"/>
    <x v="8"/>
    <n v="2"/>
    <n v="4"/>
    <n v="2"/>
  </r>
  <r>
    <n v="29"/>
    <x v="1"/>
    <s v="Travel_Rarely"/>
    <n v="1401"/>
    <x v="1"/>
    <n v="6"/>
    <n v="1"/>
    <s v="Medical"/>
    <n v="1"/>
    <n v="1192"/>
    <x v="0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x v="1"/>
    <x v="1"/>
    <n v="8"/>
    <n v="0"/>
    <n v="8"/>
  </r>
  <r>
    <n v="19"/>
    <x v="1"/>
    <s v="Travel_Rarely"/>
    <n v="645"/>
    <x v="1"/>
    <n v="9"/>
    <n v="2"/>
    <s v="Life Sciences"/>
    <n v="1"/>
    <n v="1193"/>
    <x v="1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x v="1"/>
    <x v="6"/>
    <n v="1"/>
    <n v="0"/>
    <n v="0"/>
  </r>
  <r>
    <n v="45"/>
    <x v="1"/>
    <s v="Travel_Rarely"/>
    <n v="1457"/>
    <x v="1"/>
    <n v="7"/>
    <n v="3"/>
    <s v="Medical"/>
    <n v="1"/>
    <n v="1195"/>
    <x v="3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x v="2"/>
    <x v="11"/>
    <n v="2"/>
    <n v="0"/>
    <n v="2"/>
  </r>
  <r>
    <n v="37"/>
    <x v="1"/>
    <s v="Travel_Rarely"/>
    <n v="977"/>
    <x v="1"/>
    <n v="1"/>
    <n v="3"/>
    <s v="Life Sciences"/>
    <n v="1"/>
    <n v="1196"/>
    <x v="2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x v="2"/>
    <x v="13"/>
    <n v="8"/>
    <n v="3"/>
    <n v="11"/>
  </r>
  <r>
    <n v="20"/>
    <x v="1"/>
    <s v="Travel_Rarely"/>
    <n v="805"/>
    <x v="1"/>
    <n v="3"/>
    <n v="3"/>
    <s v="Life Sciences"/>
    <n v="1"/>
    <n v="1198"/>
    <x v="3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x v="2"/>
    <x v="4"/>
    <n v="2"/>
    <n v="1"/>
    <n v="2"/>
  </r>
  <r>
    <n v="44"/>
    <x v="0"/>
    <s v="Travel_Rarely"/>
    <n v="1097"/>
    <x v="1"/>
    <n v="10"/>
    <n v="4"/>
    <s v="Life Sciences"/>
    <n v="1"/>
    <n v="1200"/>
    <x v="1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x v="1"/>
    <x v="0"/>
    <n v="4"/>
    <n v="0"/>
    <n v="2"/>
  </r>
  <r>
    <n v="53"/>
    <x v="1"/>
    <s v="Travel_Rarely"/>
    <n v="1223"/>
    <x v="1"/>
    <n v="7"/>
    <n v="2"/>
    <s v="Medical"/>
    <n v="1"/>
    <n v="1201"/>
    <x v="2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x v="1"/>
    <x v="5"/>
    <n v="7"/>
    <n v="4"/>
    <n v="7"/>
  </r>
  <r>
    <n v="29"/>
    <x v="1"/>
    <s v="Travel_Rarely"/>
    <n v="942"/>
    <x v="1"/>
    <n v="15"/>
    <n v="1"/>
    <s v="Life Sciences"/>
    <n v="1"/>
    <n v="1202"/>
    <x v="0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x v="2"/>
    <x v="8"/>
    <n v="4"/>
    <n v="1"/>
    <n v="3"/>
  </r>
  <r>
    <n v="22"/>
    <x v="0"/>
    <s v="Travel_Frequently"/>
    <n v="1256"/>
    <x v="1"/>
    <n v="3"/>
    <n v="4"/>
    <s v="Life Sciences"/>
    <n v="1"/>
    <n v="1203"/>
    <x v="1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x v="1"/>
    <x v="2"/>
    <n v="0"/>
    <n v="0"/>
    <n v="0"/>
  </r>
  <r>
    <n v="46"/>
    <x v="1"/>
    <s v="Travel_Rarely"/>
    <n v="1402"/>
    <x v="0"/>
    <n v="2"/>
    <n v="3"/>
    <s v="Marketing"/>
    <n v="1"/>
    <n v="1204"/>
    <x v="1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x v="1"/>
    <x v="34"/>
    <n v="15"/>
    <n v="15"/>
    <n v="9"/>
  </r>
  <r>
    <n v="44"/>
    <x v="1"/>
    <s v="Non-Travel"/>
    <n v="111"/>
    <x v="1"/>
    <n v="17"/>
    <n v="3"/>
    <s v="Life Sciences"/>
    <n v="1"/>
    <n v="1206"/>
    <x v="2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x v="1"/>
    <x v="2"/>
    <n v="0"/>
    <n v="0"/>
    <n v="0"/>
  </r>
  <r>
    <n v="33"/>
    <x v="1"/>
    <s v="Travel_Rarely"/>
    <n v="147"/>
    <x v="2"/>
    <n v="2"/>
    <n v="3"/>
    <s v="Human Resources"/>
    <n v="1"/>
    <n v="1207"/>
    <x v="0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x v="1"/>
    <x v="8"/>
    <n v="4"/>
    <n v="1"/>
    <n v="4"/>
  </r>
  <r>
    <n v="41"/>
    <x v="0"/>
    <s v="Non-Travel"/>
    <n v="906"/>
    <x v="1"/>
    <n v="5"/>
    <n v="2"/>
    <s v="Life Sciences"/>
    <n v="1"/>
    <n v="1210"/>
    <x v="3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x v="0"/>
    <x v="6"/>
    <n v="0"/>
    <n v="0"/>
    <n v="0"/>
  </r>
  <r>
    <n v="30"/>
    <x v="1"/>
    <s v="Travel_Rarely"/>
    <n v="1329"/>
    <x v="0"/>
    <n v="29"/>
    <n v="4"/>
    <s v="Life Sciences"/>
    <n v="1"/>
    <n v="1211"/>
    <x v="1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x v="1"/>
    <x v="9"/>
    <n v="3"/>
    <n v="0"/>
    <n v="3"/>
  </r>
  <r>
    <n v="40"/>
    <x v="1"/>
    <s v="Travel_Frequently"/>
    <n v="1184"/>
    <x v="0"/>
    <n v="2"/>
    <n v="4"/>
    <s v="Medical"/>
    <n v="1"/>
    <n v="1212"/>
    <x v="0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x v="1"/>
    <x v="2"/>
    <n v="0"/>
    <n v="0"/>
    <n v="0"/>
  </r>
  <r>
    <n v="50"/>
    <x v="1"/>
    <s v="Travel_Frequently"/>
    <n v="1421"/>
    <x v="1"/>
    <n v="2"/>
    <n v="3"/>
    <s v="Medical"/>
    <n v="1"/>
    <n v="1215"/>
    <x v="2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x v="1"/>
    <x v="4"/>
    <n v="2"/>
    <n v="2"/>
    <n v="2"/>
  </r>
  <r>
    <n v="28"/>
    <x v="1"/>
    <s v="Travel_Rarely"/>
    <n v="1179"/>
    <x v="1"/>
    <n v="19"/>
    <n v="4"/>
    <s v="Medical"/>
    <n v="1"/>
    <n v="1216"/>
    <x v="2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x v="1"/>
    <x v="0"/>
    <n v="5"/>
    <n v="3"/>
    <n v="3"/>
  </r>
  <r>
    <n v="46"/>
    <x v="1"/>
    <s v="Travel_Rarely"/>
    <n v="1450"/>
    <x v="1"/>
    <n v="15"/>
    <n v="2"/>
    <s v="Life Sciences"/>
    <n v="1"/>
    <n v="1217"/>
    <x v="2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x v="1"/>
    <x v="9"/>
    <n v="2"/>
    <n v="0"/>
    <n v="3"/>
  </r>
  <r>
    <n v="35"/>
    <x v="1"/>
    <s v="Travel_Rarely"/>
    <n v="1361"/>
    <x v="0"/>
    <n v="17"/>
    <n v="4"/>
    <s v="Life Sciences"/>
    <n v="1"/>
    <n v="1218"/>
    <x v="1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x v="1"/>
    <x v="5"/>
    <n v="7"/>
    <n v="1"/>
    <n v="7"/>
  </r>
  <r>
    <n v="24"/>
    <x v="0"/>
    <s v="Travel_Rarely"/>
    <n v="984"/>
    <x v="1"/>
    <n v="17"/>
    <n v="2"/>
    <s v="Life Sciences"/>
    <n v="1"/>
    <n v="1219"/>
    <x v="2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x v="0"/>
    <x v="6"/>
    <n v="0"/>
    <n v="0"/>
    <n v="0"/>
  </r>
  <r>
    <n v="33"/>
    <x v="1"/>
    <s v="Travel_Frequently"/>
    <n v="1146"/>
    <x v="0"/>
    <n v="25"/>
    <n v="3"/>
    <s v="Medical"/>
    <n v="1"/>
    <n v="1220"/>
    <x v="0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x v="2"/>
    <x v="1"/>
    <n v="7"/>
    <n v="0"/>
    <n v="1"/>
  </r>
  <r>
    <n v="36"/>
    <x v="1"/>
    <s v="Travel_Rarely"/>
    <n v="917"/>
    <x v="1"/>
    <n v="6"/>
    <n v="4"/>
    <s v="Life Sciences"/>
    <n v="1"/>
    <n v="1221"/>
    <x v="1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x v="1"/>
    <x v="5"/>
    <n v="7"/>
    <n v="1"/>
    <n v="7"/>
  </r>
  <r>
    <n v="30"/>
    <x v="1"/>
    <s v="Travel_Rarely"/>
    <n v="853"/>
    <x v="1"/>
    <n v="7"/>
    <n v="4"/>
    <s v="Life Sciences"/>
    <n v="1"/>
    <n v="1224"/>
    <x v="1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x v="2"/>
    <x v="1"/>
    <n v="7"/>
    <n v="8"/>
    <n v="9"/>
  </r>
  <r>
    <n v="44"/>
    <x v="1"/>
    <s v="Travel_Rarely"/>
    <n v="200"/>
    <x v="1"/>
    <n v="29"/>
    <n v="4"/>
    <s v="Other"/>
    <n v="1"/>
    <n v="1225"/>
    <x v="2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x v="1"/>
    <x v="23"/>
    <n v="11"/>
    <n v="13"/>
    <n v="17"/>
  </r>
  <r>
    <n v="20"/>
    <x v="1"/>
    <s v="Travel_Rarely"/>
    <n v="654"/>
    <x v="0"/>
    <n v="21"/>
    <n v="3"/>
    <s v="Marketing"/>
    <n v="1"/>
    <n v="1226"/>
    <x v="1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x v="1"/>
    <x v="4"/>
    <n v="1"/>
    <n v="2"/>
    <n v="2"/>
  </r>
  <r>
    <n v="46"/>
    <x v="1"/>
    <s v="Travel_Rarely"/>
    <n v="150"/>
    <x v="1"/>
    <n v="2"/>
    <n v="4"/>
    <s v="Technical Degree"/>
    <n v="1"/>
    <n v="1228"/>
    <x v="2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x v="2"/>
    <x v="0"/>
    <n v="3"/>
    <n v="1"/>
    <n v="4"/>
  </r>
  <r>
    <n v="42"/>
    <x v="1"/>
    <s v="Non-Travel"/>
    <n v="179"/>
    <x v="2"/>
    <n v="2"/>
    <n v="5"/>
    <s v="Medical"/>
    <n v="1"/>
    <n v="1231"/>
    <x v="2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x v="3"/>
    <x v="9"/>
    <n v="3"/>
    <n v="0"/>
    <n v="3"/>
  </r>
  <r>
    <n v="60"/>
    <x v="1"/>
    <s v="Travel_Rarely"/>
    <n v="696"/>
    <x v="0"/>
    <n v="7"/>
    <n v="4"/>
    <s v="Marketing"/>
    <n v="1"/>
    <n v="1233"/>
    <x v="0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x v="1"/>
    <x v="19"/>
    <n v="7"/>
    <n v="1"/>
    <n v="9"/>
  </r>
  <r>
    <n v="32"/>
    <x v="1"/>
    <s v="Travel_Frequently"/>
    <n v="116"/>
    <x v="1"/>
    <n v="13"/>
    <n v="3"/>
    <s v="Other"/>
    <n v="1"/>
    <n v="1234"/>
    <x v="1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x v="1"/>
    <x v="4"/>
    <n v="2"/>
    <n v="2"/>
    <n v="2"/>
  </r>
  <r>
    <n v="32"/>
    <x v="1"/>
    <s v="Travel_Frequently"/>
    <n v="1316"/>
    <x v="1"/>
    <n v="2"/>
    <n v="2"/>
    <s v="Life Sciences"/>
    <n v="1"/>
    <n v="1235"/>
    <x v="2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x v="1"/>
    <x v="3"/>
    <n v="7"/>
    <n v="0"/>
    <n v="7"/>
  </r>
  <r>
    <n v="36"/>
    <x v="1"/>
    <s v="Travel_Rarely"/>
    <n v="363"/>
    <x v="1"/>
    <n v="1"/>
    <n v="3"/>
    <s v="Technical Degree"/>
    <n v="1"/>
    <n v="1237"/>
    <x v="1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x v="1"/>
    <x v="5"/>
    <n v="7"/>
    <n v="7"/>
    <n v="7"/>
  </r>
  <r>
    <n v="33"/>
    <x v="1"/>
    <s v="Travel_Rarely"/>
    <n v="117"/>
    <x v="1"/>
    <n v="9"/>
    <n v="3"/>
    <s v="Medical"/>
    <n v="1"/>
    <n v="1238"/>
    <x v="3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x v="1"/>
    <x v="13"/>
    <n v="10"/>
    <n v="4"/>
    <n v="10"/>
  </r>
  <r>
    <n v="40"/>
    <x v="1"/>
    <s v="Travel_Rarely"/>
    <n v="107"/>
    <x v="0"/>
    <n v="10"/>
    <n v="3"/>
    <s v="Technical Degree"/>
    <n v="1"/>
    <n v="1239"/>
    <x v="0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x v="3"/>
    <x v="8"/>
    <n v="1"/>
    <n v="1"/>
    <n v="3"/>
  </r>
  <r>
    <n v="25"/>
    <x v="1"/>
    <s v="Travel_Rarely"/>
    <n v="1356"/>
    <x v="0"/>
    <n v="10"/>
    <n v="4"/>
    <s v="Life Sciences"/>
    <n v="1"/>
    <n v="1240"/>
    <x v="1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x v="1"/>
    <x v="9"/>
    <n v="3"/>
    <n v="1"/>
    <n v="1"/>
  </r>
  <r>
    <n v="30"/>
    <x v="1"/>
    <s v="Travel_Rarely"/>
    <n v="1465"/>
    <x v="1"/>
    <n v="1"/>
    <n v="3"/>
    <s v="Medical"/>
    <n v="1"/>
    <n v="1241"/>
    <x v="2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x v="1"/>
    <x v="19"/>
    <n v="9"/>
    <n v="5"/>
    <n v="7"/>
  </r>
  <r>
    <n v="42"/>
    <x v="1"/>
    <s v="Travel_Frequently"/>
    <n v="458"/>
    <x v="1"/>
    <n v="26"/>
    <n v="5"/>
    <s v="Medical"/>
    <n v="1"/>
    <n v="1242"/>
    <x v="3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x v="1"/>
    <x v="6"/>
    <n v="0"/>
    <n v="0"/>
    <n v="0"/>
  </r>
  <r>
    <n v="35"/>
    <x v="1"/>
    <s v="Non-Travel"/>
    <n v="1212"/>
    <x v="0"/>
    <n v="8"/>
    <n v="2"/>
    <s v="Marketing"/>
    <n v="1"/>
    <n v="1243"/>
    <x v="1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x v="2"/>
    <x v="20"/>
    <n v="2"/>
    <n v="4"/>
    <n v="12"/>
  </r>
  <r>
    <n v="27"/>
    <x v="1"/>
    <s v="Travel_Rarely"/>
    <n v="1103"/>
    <x v="1"/>
    <n v="14"/>
    <n v="3"/>
    <s v="Life Sciences"/>
    <n v="1"/>
    <n v="1244"/>
    <x v="3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x v="2"/>
    <x v="7"/>
    <n v="7"/>
    <n v="6"/>
    <n v="8"/>
  </r>
  <r>
    <n v="54"/>
    <x v="1"/>
    <s v="Travel_Frequently"/>
    <n v="966"/>
    <x v="1"/>
    <n v="1"/>
    <n v="4"/>
    <s v="Life Sciences"/>
    <n v="1"/>
    <n v="1245"/>
    <x v="2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x v="0"/>
    <x v="8"/>
    <n v="4"/>
    <n v="1"/>
    <n v="4"/>
  </r>
  <r>
    <n v="44"/>
    <x v="1"/>
    <s v="Travel_Rarely"/>
    <n v="1117"/>
    <x v="1"/>
    <n v="2"/>
    <n v="1"/>
    <s v="Life Sciences"/>
    <n v="1"/>
    <n v="1246"/>
    <x v="3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x v="1"/>
    <x v="1"/>
    <n v="5"/>
    <n v="7"/>
    <n v="7"/>
  </r>
  <r>
    <n v="19"/>
    <x v="0"/>
    <s v="Non-Travel"/>
    <n v="504"/>
    <x v="1"/>
    <n v="10"/>
    <n v="3"/>
    <s v="Medical"/>
    <n v="1"/>
    <n v="1248"/>
    <x v="3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x v="3"/>
    <x v="6"/>
    <n v="1"/>
    <n v="0"/>
    <n v="0"/>
  </r>
  <r>
    <n v="29"/>
    <x v="1"/>
    <s v="Travel_Rarely"/>
    <n v="1010"/>
    <x v="1"/>
    <n v="1"/>
    <n v="3"/>
    <s v="Life Sciences"/>
    <n v="1"/>
    <n v="1249"/>
    <x v="3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x v="1"/>
    <x v="11"/>
    <n v="2"/>
    <n v="1"/>
    <n v="2"/>
  </r>
  <r>
    <n v="54"/>
    <x v="1"/>
    <s v="Travel_Rarely"/>
    <n v="685"/>
    <x v="1"/>
    <n v="3"/>
    <n v="3"/>
    <s v="Life Sciences"/>
    <n v="1"/>
    <n v="1250"/>
    <x v="2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x v="1"/>
    <x v="1"/>
    <n v="9"/>
    <n v="0"/>
    <n v="9"/>
  </r>
  <r>
    <n v="31"/>
    <x v="1"/>
    <s v="Travel_Rarely"/>
    <n v="1332"/>
    <x v="1"/>
    <n v="11"/>
    <n v="2"/>
    <s v="Medical"/>
    <n v="1"/>
    <n v="1251"/>
    <x v="1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x v="2"/>
    <x v="0"/>
    <n v="5"/>
    <n v="0"/>
    <n v="1"/>
  </r>
  <r>
    <n v="31"/>
    <x v="1"/>
    <s v="Travel_Rarely"/>
    <n v="1062"/>
    <x v="1"/>
    <n v="24"/>
    <n v="3"/>
    <s v="Medical"/>
    <n v="1"/>
    <n v="1252"/>
    <x v="1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x v="1"/>
    <x v="1"/>
    <n v="9"/>
    <n v="1"/>
    <n v="8"/>
  </r>
  <r>
    <n v="59"/>
    <x v="1"/>
    <s v="Travel_Rarely"/>
    <n v="326"/>
    <x v="0"/>
    <n v="3"/>
    <n v="3"/>
    <s v="Life Sciences"/>
    <n v="1"/>
    <n v="1254"/>
    <x v="1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x v="1"/>
    <x v="0"/>
    <n v="1"/>
    <n v="0"/>
    <n v="5"/>
  </r>
  <r>
    <n v="43"/>
    <x v="1"/>
    <s v="Travel_Rarely"/>
    <n v="920"/>
    <x v="1"/>
    <n v="3"/>
    <n v="3"/>
    <s v="Life Sciences"/>
    <n v="1"/>
    <n v="1255"/>
    <x v="1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x v="1"/>
    <x v="3"/>
    <n v="7"/>
    <n v="0"/>
    <n v="7"/>
  </r>
  <r>
    <n v="49"/>
    <x v="1"/>
    <s v="Travel_Rarely"/>
    <n v="1098"/>
    <x v="1"/>
    <n v="4"/>
    <n v="2"/>
    <s v="Medical"/>
    <n v="1"/>
    <n v="1256"/>
    <x v="3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x v="3"/>
    <x v="6"/>
    <n v="0"/>
    <n v="0"/>
    <n v="0"/>
  </r>
  <r>
    <n v="36"/>
    <x v="1"/>
    <s v="Travel_Frequently"/>
    <n v="469"/>
    <x v="1"/>
    <n v="3"/>
    <n v="3"/>
    <s v="Technical Degree"/>
    <n v="1"/>
    <n v="1257"/>
    <x v="1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x v="2"/>
    <x v="19"/>
    <n v="10"/>
    <n v="0"/>
    <n v="7"/>
  </r>
  <r>
    <n v="48"/>
    <x v="1"/>
    <s v="Travel_Rarely"/>
    <n v="969"/>
    <x v="1"/>
    <n v="2"/>
    <n v="2"/>
    <s v="Technical Degree"/>
    <n v="1"/>
    <n v="1258"/>
    <x v="2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x v="2"/>
    <x v="6"/>
    <n v="0"/>
    <n v="0"/>
    <n v="0"/>
  </r>
  <r>
    <n v="27"/>
    <x v="1"/>
    <s v="Travel_Rarely"/>
    <n v="1167"/>
    <x v="1"/>
    <n v="4"/>
    <n v="2"/>
    <s v="Life Sciences"/>
    <n v="1"/>
    <n v="1259"/>
    <x v="3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x v="1"/>
    <x v="8"/>
    <n v="3"/>
    <n v="0"/>
    <n v="3"/>
  </r>
  <r>
    <n v="29"/>
    <x v="1"/>
    <s v="Travel_Rarely"/>
    <n v="1329"/>
    <x v="1"/>
    <n v="7"/>
    <n v="3"/>
    <s v="Life Sciences"/>
    <n v="1"/>
    <n v="1260"/>
    <x v="1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x v="1"/>
    <x v="0"/>
    <n v="0"/>
    <n v="1"/>
    <n v="0"/>
  </r>
  <r>
    <n v="48"/>
    <x v="1"/>
    <s v="Travel_Rarely"/>
    <n v="715"/>
    <x v="1"/>
    <n v="1"/>
    <n v="3"/>
    <s v="Life Sciences"/>
    <n v="1"/>
    <n v="1263"/>
    <x v="2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x v="3"/>
    <x v="6"/>
    <n v="0"/>
    <n v="0"/>
    <n v="0"/>
  </r>
  <r>
    <n v="29"/>
    <x v="1"/>
    <s v="Travel_Rarely"/>
    <n v="694"/>
    <x v="1"/>
    <n v="1"/>
    <n v="3"/>
    <s v="Life Sciences"/>
    <n v="1"/>
    <n v="1264"/>
    <x v="2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x v="2"/>
    <x v="5"/>
    <n v="7"/>
    <n v="1"/>
    <n v="7"/>
  </r>
  <r>
    <n v="34"/>
    <x v="1"/>
    <s v="Travel_Rarely"/>
    <n v="1320"/>
    <x v="1"/>
    <n v="20"/>
    <n v="3"/>
    <s v="Technical Degree"/>
    <n v="1"/>
    <n v="1265"/>
    <x v="1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x v="2"/>
    <x v="6"/>
    <n v="0"/>
    <n v="0"/>
    <n v="0"/>
  </r>
  <r>
    <n v="44"/>
    <x v="1"/>
    <s v="Travel_Rarely"/>
    <n v="1099"/>
    <x v="0"/>
    <n v="5"/>
    <n v="3"/>
    <s v="Marketing"/>
    <n v="1"/>
    <n v="1267"/>
    <x v="0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x v="1"/>
    <x v="14"/>
    <n v="9"/>
    <n v="3"/>
    <n v="10"/>
  </r>
  <r>
    <n v="33"/>
    <x v="1"/>
    <s v="Travel_Rarely"/>
    <n v="536"/>
    <x v="0"/>
    <n v="10"/>
    <n v="5"/>
    <s v="Marketing"/>
    <n v="1"/>
    <n v="1268"/>
    <x v="2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x v="1"/>
    <x v="7"/>
    <n v="8"/>
    <n v="0"/>
    <n v="8"/>
  </r>
  <r>
    <n v="19"/>
    <x v="1"/>
    <s v="Travel_Rarely"/>
    <n v="265"/>
    <x v="1"/>
    <n v="25"/>
    <n v="3"/>
    <s v="Life Sciences"/>
    <n v="1"/>
    <n v="1269"/>
    <x v="0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x v="1"/>
    <x v="6"/>
    <n v="0"/>
    <n v="0"/>
    <n v="1"/>
  </r>
  <r>
    <n v="23"/>
    <x v="1"/>
    <s v="Travel_Rarely"/>
    <n v="373"/>
    <x v="1"/>
    <n v="1"/>
    <n v="2"/>
    <s v="Life Sciences"/>
    <n v="1"/>
    <n v="1270"/>
    <x v="2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x v="1"/>
    <x v="6"/>
    <n v="0"/>
    <n v="0"/>
    <n v="1"/>
  </r>
  <r>
    <n v="25"/>
    <x v="0"/>
    <s v="Travel_Frequently"/>
    <n v="599"/>
    <x v="0"/>
    <n v="24"/>
    <n v="1"/>
    <s v="Life Sciences"/>
    <n v="1"/>
    <n v="1273"/>
    <x v="1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x v="1"/>
    <x v="6"/>
    <n v="0"/>
    <n v="1"/>
    <n v="0"/>
  </r>
  <r>
    <n v="26"/>
    <x v="1"/>
    <s v="Travel_Rarely"/>
    <n v="583"/>
    <x v="1"/>
    <n v="4"/>
    <n v="2"/>
    <s v="Life Sciences"/>
    <n v="1"/>
    <n v="1275"/>
    <x v="1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x v="2"/>
    <x v="3"/>
    <n v="5"/>
    <n v="2"/>
    <n v="2"/>
  </r>
  <r>
    <n v="45"/>
    <x v="0"/>
    <s v="Travel_Rarely"/>
    <n v="1449"/>
    <x v="0"/>
    <n v="2"/>
    <n v="3"/>
    <s v="Marketing"/>
    <n v="1"/>
    <n v="1277"/>
    <x v="3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x v="1"/>
    <x v="25"/>
    <n v="10"/>
    <n v="1"/>
    <n v="11"/>
  </r>
  <r>
    <n v="55"/>
    <x v="1"/>
    <s v="Non-Travel"/>
    <n v="177"/>
    <x v="1"/>
    <n v="8"/>
    <n v="1"/>
    <s v="Medical"/>
    <n v="1"/>
    <n v="1278"/>
    <x v="2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x v="1"/>
    <x v="26"/>
    <n v="9"/>
    <n v="15"/>
    <n v="0"/>
  </r>
  <r>
    <n v="21"/>
    <x v="0"/>
    <s v="Travel_Frequently"/>
    <n v="251"/>
    <x v="1"/>
    <n v="10"/>
    <n v="2"/>
    <s v="Life Sciences"/>
    <n v="1"/>
    <n v="1279"/>
    <x v="3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x v="0"/>
    <x v="4"/>
    <n v="2"/>
    <n v="2"/>
    <n v="2"/>
  </r>
  <r>
    <n v="46"/>
    <x v="1"/>
    <s v="Travel_Rarely"/>
    <n v="168"/>
    <x v="0"/>
    <n v="4"/>
    <n v="2"/>
    <s v="Marketing"/>
    <n v="1"/>
    <n v="1280"/>
    <x v="2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x v="1"/>
    <x v="19"/>
    <n v="4"/>
    <n v="0"/>
    <n v="8"/>
  </r>
  <r>
    <n v="34"/>
    <x v="1"/>
    <s v="Travel_Rarely"/>
    <n v="131"/>
    <x v="0"/>
    <n v="2"/>
    <n v="3"/>
    <s v="Marketing"/>
    <n v="1"/>
    <n v="1281"/>
    <x v="1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x v="1"/>
    <x v="11"/>
    <n v="2"/>
    <n v="0"/>
    <n v="2"/>
  </r>
  <r>
    <n v="51"/>
    <x v="1"/>
    <s v="Travel_Frequently"/>
    <n v="237"/>
    <x v="0"/>
    <n v="9"/>
    <n v="3"/>
    <s v="Life Sciences"/>
    <n v="1"/>
    <n v="1282"/>
    <x v="2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x v="2"/>
    <x v="30"/>
    <n v="10"/>
    <n v="11"/>
    <n v="10"/>
  </r>
  <r>
    <n v="59"/>
    <x v="1"/>
    <s v="Travel_Rarely"/>
    <n v="1429"/>
    <x v="1"/>
    <n v="18"/>
    <n v="4"/>
    <s v="Medical"/>
    <n v="1"/>
    <n v="1283"/>
    <x v="2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x v="2"/>
    <x v="7"/>
    <n v="7"/>
    <n v="5"/>
    <n v="4"/>
  </r>
  <r>
    <n v="34"/>
    <x v="1"/>
    <s v="Travel_Frequently"/>
    <n v="135"/>
    <x v="1"/>
    <n v="19"/>
    <n v="3"/>
    <s v="Medical"/>
    <n v="1"/>
    <n v="1285"/>
    <x v="1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x v="3"/>
    <x v="19"/>
    <n v="8"/>
    <n v="5"/>
    <n v="10"/>
  </r>
  <r>
    <n v="28"/>
    <x v="1"/>
    <s v="Travel_Frequently"/>
    <n v="791"/>
    <x v="1"/>
    <n v="1"/>
    <n v="4"/>
    <s v="Medical"/>
    <n v="1"/>
    <n v="1286"/>
    <x v="2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x v="2"/>
    <x v="9"/>
    <n v="2"/>
    <n v="0"/>
    <n v="2"/>
  </r>
  <r>
    <n v="44"/>
    <x v="1"/>
    <s v="Travel_Rarely"/>
    <n v="1199"/>
    <x v="1"/>
    <n v="4"/>
    <n v="2"/>
    <s v="Life Sciences"/>
    <n v="1"/>
    <n v="1288"/>
    <x v="1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x v="2"/>
    <x v="10"/>
    <n v="9"/>
    <n v="14"/>
    <n v="13"/>
  </r>
  <r>
    <n v="34"/>
    <x v="1"/>
    <s v="Travel_Frequently"/>
    <n v="648"/>
    <x v="2"/>
    <n v="11"/>
    <n v="3"/>
    <s v="Life Sciences"/>
    <n v="1"/>
    <n v="1289"/>
    <x v="1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x v="3"/>
    <x v="1"/>
    <n v="9"/>
    <n v="1"/>
    <n v="8"/>
  </r>
  <r>
    <n v="35"/>
    <x v="1"/>
    <s v="Travel_Rarely"/>
    <n v="735"/>
    <x v="1"/>
    <n v="6"/>
    <n v="1"/>
    <s v="Life Sciences"/>
    <n v="1"/>
    <n v="1291"/>
    <x v="1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x v="1"/>
    <x v="11"/>
    <n v="2"/>
    <n v="2"/>
    <n v="2"/>
  </r>
  <r>
    <n v="42"/>
    <x v="1"/>
    <s v="Travel_Rarely"/>
    <n v="603"/>
    <x v="1"/>
    <n v="7"/>
    <n v="4"/>
    <s v="Medical"/>
    <n v="1"/>
    <n v="1292"/>
    <x v="0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x v="1"/>
    <x v="6"/>
    <n v="0"/>
    <n v="0"/>
    <n v="0"/>
  </r>
  <r>
    <n v="43"/>
    <x v="1"/>
    <s v="Travel_Rarely"/>
    <n v="531"/>
    <x v="0"/>
    <n v="4"/>
    <n v="4"/>
    <s v="Marketing"/>
    <n v="1"/>
    <n v="1293"/>
    <x v="2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x v="3"/>
    <x v="17"/>
    <n v="7"/>
    <n v="15"/>
    <n v="17"/>
  </r>
  <r>
    <n v="36"/>
    <x v="1"/>
    <s v="Travel_Rarely"/>
    <n v="429"/>
    <x v="1"/>
    <n v="2"/>
    <n v="4"/>
    <s v="Life Sciences"/>
    <n v="1"/>
    <n v="1294"/>
    <x v="1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x v="1"/>
    <x v="22"/>
    <n v="14"/>
    <n v="5"/>
    <n v="12"/>
  </r>
  <r>
    <n v="44"/>
    <x v="0"/>
    <s v="Travel_Rarely"/>
    <n v="621"/>
    <x v="1"/>
    <n v="15"/>
    <n v="3"/>
    <s v="Medical"/>
    <n v="1"/>
    <n v="1295"/>
    <x v="3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x v="1"/>
    <x v="1"/>
    <n v="7"/>
    <n v="0"/>
    <n v="5"/>
  </r>
  <r>
    <n v="28"/>
    <x v="1"/>
    <s v="Travel_Frequently"/>
    <n v="193"/>
    <x v="1"/>
    <n v="2"/>
    <n v="3"/>
    <s v="Life Sciences"/>
    <n v="1"/>
    <n v="1296"/>
    <x v="2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x v="1"/>
    <x v="4"/>
    <n v="2"/>
    <n v="2"/>
    <n v="2"/>
  </r>
  <r>
    <n v="51"/>
    <x v="1"/>
    <s v="Travel_Frequently"/>
    <n v="968"/>
    <x v="1"/>
    <n v="6"/>
    <n v="2"/>
    <s v="Medical"/>
    <n v="1"/>
    <n v="1297"/>
    <x v="0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x v="2"/>
    <x v="5"/>
    <n v="0"/>
    <n v="7"/>
    <n v="7"/>
  </r>
  <r>
    <n v="30"/>
    <x v="1"/>
    <s v="Non-Travel"/>
    <n v="879"/>
    <x v="1"/>
    <n v="9"/>
    <n v="2"/>
    <s v="Medical"/>
    <n v="1"/>
    <n v="1298"/>
    <x v="1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x v="1"/>
    <x v="3"/>
    <n v="4"/>
    <n v="1"/>
    <n v="7"/>
  </r>
  <r>
    <n v="29"/>
    <x v="0"/>
    <s v="Travel_Rarely"/>
    <n v="806"/>
    <x v="1"/>
    <n v="7"/>
    <n v="3"/>
    <s v="Technical Degree"/>
    <n v="1"/>
    <n v="1299"/>
    <x v="0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x v="1"/>
    <x v="5"/>
    <n v="7"/>
    <n v="7"/>
    <n v="7"/>
  </r>
  <r>
    <n v="28"/>
    <x v="1"/>
    <s v="Travel_Rarely"/>
    <n v="640"/>
    <x v="1"/>
    <n v="1"/>
    <n v="3"/>
    <s v="Technical Degree"/>
    <n v="1"/>
    <n v="1301"/>
    <x v="2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x v="2"/>
    <x v="11"/>
    <n v="2"/>
    <n v="1"/>
    <n v="2"/>
  </r>
  <r>
    <n v="25"/>
    <x v="1"/>
    <s v="Travel_Rarely"/>
    <n v="266"/>
    <x v="1"/>
    <n v="1"/>
    <n v="3"/>
    <s v="Medical"/>
    <n v="1"/>
    <n v="1303"/>
    <x v="2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x v="2"/>
    <x v="4"/>
    <n v="2"/>
    <n v="2"/>
    <n v="1"/>
  </r>
  <r>
    <n v="32"/>
    <x v="1"/>
    <s v="Travel_Rarely"/>
    <n v="604"/>
    <x v="0"/>
    <n v="8"/>
    <n v="3"/>
    <s v="Medical"/>
    <n v="1"/>
    <n v="1304"/>
    <x v="1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x v="3"/>
    <x v="1"/>
    <n v="7"/>
    <n v="0"/>
    <n v="8"/>
  </r>
  <r>
    <n v="45"/>
    <x v="1"/>
    <s v="Travel_Frequently"/>
    <n v="364"/>
    <x v="1"/>
    <n v="25"/>
    <n v="3"/>
    <s v="Medical"/>
    <n v="1"/>
    <n v="1306"/>
    <x v="0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x v="1"/>
    <x v="2"/>
    <n v="0"/>
    <n v="0"/>
    <n v="0"/>
  </r>
  <r>
    <n v="39"/>
    <x v="1"/>
    <s v="Travel_Rarely"/>
    <n v="412"/>
    <x v="1"/>
    <n v="13"/>
    <n v="4"/>
    <s v="Medical"/>
    <n v="1"/>
    <n v="1307"/>
    <x v="1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x v="1"/>
    <x v="27"/>
    <n v="9"/>
    <n v="15"/>
    <n v="2"/>
  </r>
  <r>
    <n v="58"/>
    <x v="1"/>
    <s v="Travel_Rarely"/>
    <n v="848"/>
    <x v="1"/>
    <n v="23"/>
    <n v="4"/>
    <s v="Life Sciences"/>
    <n v="1"/>
    <n v="1308"/>
    <x v="3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x v="1"/>
    <x v="4"/>
    <n v="2"/>
    <n v="2"/>
    <n v="2"/>
  </r>
  <r>
    <n v="32"/>
    <x v="0"/>
    <s v="Travel_Rarely"/>
    <n v="1089"/>
    <x v="1"/>
    <n v="7"/>
    <n v="2"/>
    <s v="Life Sciences"/>
    <n v="1"/>
    <n v="1309"/>
    <x v="2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x v="1"/>
    <x v="1"/>
    <n v="4"/>
    <n v="1"/>
    <n v="1"/>
  </r>
  <r>
    <n v="39"/>
    <x v="0"/>
    <s v="Travel_Rarely"/>
    <n v="360"/>
    <x v="1"/>
    <n v="23"/>
    <n v="3"/>
    <s v="Medical"/>
    <n v="1"/>
    <n v="1310"/>
    <x v="1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x v="1"/>
    <x v="8"/>
    <n v="2"/>
    <n v="0"/>
    <n v="3"/>
  </r>
  <r>
    <n v="30"/>
    <x v="1"/>
    <s v="Travel_Rarely"/>
    <n v="1138"/>
    <x v="1"/>
    <n v="6"/>
    <n v="3"/>
    <s v="Technical Degree"/>
    <n v="1"/>
    <n v="1311"/>
    <x v="3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x v="1"/>
    <x v="7"/>
    <n v="2"/>
    <n v="6"/>
    <n v="7"/>
  </r>
  <r>
    <n v="36"/>
    <x v="1"/>
    <s v="Travel_Rarely"/>
    <n v="325"/>
    <x v="1"/>
    <n v="10"/>
    <n v="4"/>
    <s v="Technical Degree"/>
    <n v="1"/>
    <n v="1312"/>
    <x v="2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x v="1"/>
    <x v="5"/>
    <n v="7"/>
    <n v="1"/>
    <n v="7"/>
  </r>
  <r>
    <n v="46"/>
    <x v="1"/>
    <s v="Travel_Rarely"/>
    <n v="991"/>
    <x v="2"/>
    <n v="1"/>
    <n v="2"/>
    <s v="Life Sciences"/>
    <n v="1"/>
    <n v="1314"/>
    <x v="2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x v="3"/>
    <x v="5"/>
    <n v="6"/>
    <n v="5"/>
    <n v="7"/>
  </r>
  <r>
    <n v="28"/>
    <x v="1"/>
    <s v="Non-Travel"/>
    <n v="1476"/>
    <x v="1"/>
    <n v="1"/>
    <n v="3"/>
    <s v="Life Sciences"/>
    <n v="1"/>
    <n v="1315"/>
    <x v="1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x v="1"/>
    <x v="7"/>
    <n v="8"/>
    <n v="7"/>
    <n v="5"/>
  </r>
  <r>
    <n v="50"/>
    <x v="1"/>
    <s v="Travel_Rarely"/>
    <n v="1322"/>
    <x v="1"/>
    <n v="28"/>
    <n v="3"/>
    <s v="Life Sciences"/>
    <n v="1"/>
    <n v="1317"/>
    <x v="2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x v="1"/>
    <x v="11"/>
    <n v="2"/>
    <n v="1"/>
    <n v="2"/>
  </r>
  <r>
    <n v="40"/>
    <x v="0"/>
    <s v="Travel_Rarely"/>
    <n v="299"/>
    <x v="0"/>
    <n v="25"/>
    <n v="4"/>
    <s v="Marketing"/>
    <n v="1"/>
    <n v="1318"/>
    <x v="2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x v="1"/>
    <x v="8"/>
    <n v="4"/>
    <n v="1"/>
    <n v="0"/>
  </r>
  <r>
    <n v="52"/>
    <x v="0"/>
    <s v="Travel_Rarely"/>
    <n v="1030"/>
    <x v="0"/>
    <n v="5"/>
    <n v="3"/>
    <s v="Life Sciences"/>
    <n v="1"/>
    <n v="1319"/>
    <x v="0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x v="2"/>
    <x v="3"/>
    <n v="7"/>
    <n v="7"/>
    <n v="7"/>
  </r>
  <r>
    <n v="30"/>
    <x v="1"/>
    <s v="Travel_Rarely"/>
    <n v="634"/>
    <x v="1"/>
    <n v="17"/>
    <n v="4"/>
    <s v="Medical"/>
    <n v="1"/>
    <n v="1321"/>
    <x v="0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x v="1"/>
    <x v="7"/>
    <n v="1"/>
    <n v="0"/>
    <n v="8"/>
  </r>
  <r>
    <n v="39"/>
    <x v="1"/>
    <s v="Travel_Rarely"/>
    <n v="524"/>
    <x v="1"/>
    <n v="18"/>
    <n v="2"/>
    <s v="Life Sciences"/>
    <n v="1"/>
    <n v="1322"/>
    <x v="3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x v="1"/>
    <x v="3"/>
    <n v="7"/>
    <n v="1"/>
    <n v="7"/>
  </r>
  <r>
    <n v="31"/>
    <x v="1"/>
    <s v="Non-Travel"/>
    <n v="587"/>
    <x v="0"/>
    <n v="2"/>
    <n v="4"/>
    <s v="Life Sciences"/>
    <n v="1"/>
    <n v="1324"/>
    <x v="2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x v="2"/>
    <x v="1"/>
    <n v="8"/>
    <n v="9"/>
    <n v="6"/>
  </r>
  <r>
    <n v="41"/>
    <x v="1"/>
    <s v="Non-Travel"/>
    <n v="256"/>
    <x v="0"/>
    <n v="10"/>
    <n v="2"/>
    <s v="Medical"/>
    <n v="1"/>
    <n v="1329"/>
    <x v="1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x v="1"/>
    <x v="27"/>
    <n v="2"/>
    <n v="11"/>
    <n v="9"/>
  </r>
  <r>
    <n v="31"/>
    <x v="0"/>
    <s v="Travel_Frequently"/>
    <n v="1060"/>
    <x v="0"/>
    <n v="1"/>
    <n v="3"/>
    <s v="Life Sciences"/>
    <n v="1"/>
    <n v="1331"/>
    <x v="2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x v="3"/>
    <x v="11"/>
    <n v="2"/>
    <n v="2"/>
    <n v="2"/>
  </r>
  <r>
    <n v="44"/>
    <x v="0"/>
    <s v="Travel_Rarely"/>
    <n v="935"/>
    <x v="1"/>
    <n v="3"/>
    <n v="3"/>
    <s v="Life Sciences"/>
    <n v="1"/>
    <n v="1333"/>
    <x v="3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x v="3"/>
    <x v="11"/>
    <n v="2"/>
    <n v="1"/>
    <n v="2"/>
  </r>
  <r>
    <n v="42"/>
    <x v="1"/>
    <s v="Non-Travel"/>
    <n v="495"/>
    <x v="1"/>
    <n v="2"/>
    <n v="1"/>
    <s v="Life Sciences"/>
    <n v="1"/>
    <n v="1334"/>
    <x v="1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x v="2"/>
    <x v="23"/>
    <n v="8"/>
    <n v="2"/>
    <n v="10"/>
  </r>
  <r>
    <n v="55"/>
    <x v="1"/>
    <s v="Travel_Rarely"/>
    <n v="282"/>
    <x v="1"/>
    <n v="2"/>
    <n v="2"/>
    <s v="Medical"/>
    <n v="1"/>
    <n v="1336"/>
    <x v="2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x v="1"/>
    <x v="27"/>
    <n v="9"/>
    <n v="9"/>
    <n v="11"/>
  </r>
  <r>
    <n v="56"/>
    <x v="1"/>
    <s v="Travel_Rarely"/>
    <n v="206"/>
    <x v="2"/>
    <n v="8"/>
    <n v="4"/>
    <s v="Life Sciences"/>
    <n v="1"/>
    <n v="1338"/>
    <x v="2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x v="1"/>
    <x v="5"/>
    <n v="3"/>
    <n v="7"/>
    <n v="7"/>
  </r>
  <r>
    <n v="40"/>
    <x v="1"/>
    <s v="Non-Travel"/>
    <n v="458"/>
    <x v="1"/>
    <n v="16"/>
    <n v="2"/>
    <s v="Life Sciences"/>
    <n v="1"/>
    <n v="1340"/>
    <x v="1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x v="1"/>
    <x v="9"/>
    <n v="2"/>
    <n v="0"/>
    <n v="0"/>
  </r>
  <r>
    <n v="34"/>
    <x v="1"/>
    <s v="Travel_Rarely"/>
    <n v="943"/>
    <x v="1"/>
    <n v="9"/>
    <n v="3"/>
    <s v="Life Sciences"/>
    <n v="1"/>
    <n v="1344"/>
    <x v="2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x v="2"/>
    <x v="7"/>
    <n v="7"/>
    <n v="1"/>
    <n v="6"/>
  </r>
  <r>
    <n v="40"/>
    <x v="1"/>
    <s v="Travel_Rarely"/>
    <n v="523"/>
    <x v="1"/>
    <n v="2"/>
    <n v="3"/>
    <s v="Life Sciences"/>
    <n v="1"/>
    <n v="1346"/>
    <x v="1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x v="1"/>
    <x v="7"/>
    <n v="8"/>
    <n v="8"/>
    <n v="8"/>
  </r>
  <r>
    <n v="41"/>
    <x v="1"/>
    <s v="Travel_Frequently"/>
    <n v="1018"/>
    <x v="0"/>
    <n v="1"/>
    <n v="3"/>
    <s v="Marketing"/>
    <n v="1"/>
    <n v="1349"/>
    <x v="1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x v="1"/>
    <x v="7"/>
    <n v="3"/>
    <n v="1"/>
    <n v="7"/>
  </r>
  <r>
    <n v="35"/>
    <x v="1"/>
    <s v="Travel_Frequently"/>
    <n v="482"/>
    <x v="1"/>
    <n v="4"/>
    <n v="4"/>
    <s v="Life Sciences"/>
    <n v="1"/>
    <n v="1350"/>
    <x v="1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x v="1"/>
    <x v="7"/>
    <n v="6"/>
    <n v="1"/>
    <n v="1"/>
  </r>
  <r>
    <n v="51"/>
    <x v="1"/>
    <s v="Travel_Rarely"/>
    <n v="770"/>
    <x v="2"/>
    <n v="5"/>
    <n v="3"/>
    <s v="Life Sciences"/>
    <n v="1"/>
    <n v="1352"/>
    <x v="1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x v="1"/>
    <x v="26"/>
    <n v="9"/>
    <n v="0"/>
    <n v="10"/>
  </r>
  <r>
    <n v="38"/>
    <x v="1"/>
    <s v="Travel_Rarely"/>
    <n v="1009"/>
    <x v="0"/>
    <n v="2"/>
    <n v="2"/>
    <s v="Life Sciences"/>
    <n v="1"/>
    <n v="1355"/>
    <x v="0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x v="1"/>
    <x v="5"/>
    <n v="7"/>
    <n v="1"/>
    <n v="7"/>
  </r>
  <r>
    <n v="34"/>
    <x v="1"/>
    <s v="Travel_Rarely"/>
    <n v="507"/>
    <x v="0"/>
    <n v="15"/>
    <n v="2"/>
    <s v="Medical"/>
    <n v="1"/>
    <n v="1356"/>
    <x v="1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x v="3"/>
    <x v="1"/>
    <n v="8"/>
    <n v="9"/>
    <n v="6"/>
  </r>
  <r>
    <n v="25"/>
    <x v="1"/>
    <s v="Travel_Rarely"/>
    <n v="882"/>
    <x v="1"/>
    <n v="19"/>
    <n v="1"/>
    <s v="Medical"/>
    <n v="1"/>
    <n v="1358"/>
    <x v="2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x v="2"/>
    <x v="11"/>
    <n v="2"/>
    <n v="1"/>
    <n v="2"/>
  </r>
  <r>
    <n v="58"/>
    <x v="0"/>
    <s v="Travel_Rarely"/>
    <n v="601"/>
    <x v="1"/>
    <n v="7"/>
    <n v="4"/>
    <s v="Medical"/>
    <n v="1"/>
    <n v="1360"/>
    <x v="1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x v="2"/>
    <x v="1"/>
    <n v="9"/>
    <n v="5"/>
    <n v="9"/>
  </r>
  <r>
    <n v="40"/>
    <x v="1"/>
    <s v="Travel_Rarely"/>
    <n v="329"/>
    <x v="1"/>
    <n v="1"/>
    <n v="4"/>
    <s v="Life Sciences"/>
    <n v="1"/>
    <n v="1361"/>
    <x v="0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x v="1"/>
    <x v="9"/>
    <n v="2"/>
    <n v="0"/>
    <n v="3"/>
  </r>
  <r>
    <n v="36"/>
    <x v="1"/>
    <s v="Travel_Frequently"/>
    <n v="607"/>
    <x v="0"/>
    <n v="7"/>
    <n v="3"/>
    <s v="Marketing"/>
    <n v="1"/>
    <n v="1362"/>
    <x v="3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x v="2"/>
    <x v="15"/>
    <n v="7"/>
    <n v="6"/>
    <n v="13"/>
  </r>
  <r>
    <n v="48"/>
    <x v="1"/>
    <s v="Travel_Rarely"/>
    <n v="855"/>
    <x v="1"/>
    <n v="4"/>
    <n v="3"/>
    <s v="Life Sciences"/>
    <n v="1"/>
    <n v="1363"/>
    <x v="2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x v="1"/>
    <x v="1"/>
    <n v="9"/>
    <n v="0"/>
    <n v="8"/>
  </r>
  <r>
    <n v="27"/>
    <x v="1"/>
    <s v="Travel_Rarely"/>
    <n v="1291"/>
    <x v="0"/>
    <n v="11"/>
    <n v="3"/>
    <s v="Medical"/>
    <n v="1"/>
    <n v="1364"/>
    <x v="1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x v="1"/>
    <x v="6"/>
    <n v="0"/>
    <n v="0"/>
    <n v="0"/>
  </r>
  <r>
    <n v="51"/>
    <x v="1"/>
    <s v="Travel_Rarely"/>
    <n v="1405"/>
    <x v="1"/>
    <n v="11"/>
    <n v="2"/>
    <s v="Technical Degree"/>
    <n v="1"/>
    <n v="1367"/>
    <x v="2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x v="2"/>
    <x v="8"/>
    <n v="2"/>
    <n v="0"/>
    <n v="3"/>
  </r>
  <r>
    <n v="18"/>
    <x v="1"/>
    <s v="Non-Travel"/>
    <n v="1124"/>
    <x v="1"/>
    <n v="1"/>
    <n v="3"/>
    <s v="Life Sciences"/>
    <n v="1"/>
    <n v="1368"/>
    <x v="2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x v="3"/>
    <x v="2"/>
    <n v="0"/>
    <n v="0"/>
    <n v="0"/>
  </r>
  <r>
    <n v="35"/>
    <x v="1"/>
    <s v="Travel_Rarely"/>
    <n v="817"/>
    <x v="1"/>
    <n v="1"/>
    <n v="3"/>
    <s v="Medical"/>
    <n v="1"/>
    <n v="1369"/>
    <x v="2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x v="1"/>
    <x v="7"/>
    <n v="7"/>
    <n v="0"/>
    <n v="0"/>
  </r>
  <r>
    <n v="27"/>
    <x v="1"/>
    <s v="Travel_Frequently"/>
    <n v="793"/>
    <x v="0"/>
    <n v="2"/>
    <n v="1"/>
    <s v="Life Sciences"/>
    <n v="1"/>
    <n v="1371"/>
    <x v="2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x v="1"/>
    <x v="0"/>
    <n v="2"/>
    <n v="0"/>
    <n v="0"/>
  </r>
  <r>
    <n v="55"/>
    <x v="0"/>
    <s v="Travel_Rarely"/>
    <n v="267"/>
    <x v="0"/>
    <n v="13"/>
    <n v="4"/>
    <s v="Marketing"/>
    <n v="1"/>
    <n v="1372"/>
    <x v="3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x v="2"/>
    <x v="27"/>
    <n v="7"/>
    <n v="3"/>
    <n v="8"/>
  </r>
  <r>
    <n v="56"/>
    <x v="1"/>
    <s v="Travel_Rarely"/>
    <n v="1369"/>
    <x v="1"/>
    <n v="23"/>
    <n v="3"/>
    <s v="Life Sciences"/>
    <n v="1"/>
    <n v="1373"/>
    <x v="2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x v="1"/>
    <x v="27"/>
    <n v="16"/>
    <n v="15"/>
    <n v="9"/>
  </r>
  <r>
    <n v="34"/>
    <x v="1"/>
    <s v="Non-Travel"/>
    <n v="999"/>
    <x v="1"/>
    <n v="26"/>
    <n v="1"/>
    <s v="Technical Degree"/>
    <n v="1"/>
    <n v="1374"/>
    <x v="3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x v="1"/>
    <x v="8"/>
    <n v="4"/>
    <n v="0"/>
    <n v="0"/>
  </r>
  <r>
    <n v="40"/>
    <x v="1"/>
    <s v="Travel_Rarely"/>
    <n v="1202"/>
    <x v="1"/>
    <n v="2"/>
    <n v="1"/>
    <s v="Medical"/>
    <n v="1"/>
    <n v="1375"/>
    <x v="0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x v="1"/>
    <x v="12"/>
    <n v="11"/>
    <n v="11"/>
    <n v="8"/>
  </r>
  <r>
    <n v="34"/>
    <x v="1"/>
    <s v="Travel_Rarely"/>
    <n v="285"/>
    <x v="1"/>
    <n v="29"/>
    <n v="3"/>
    <s v="Medical"/>
    <n v="1"/>
    <n v="1377"/>
    <x v="0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x v="1"/>
    <x v="3"/>
    <n v="7"/>
    <n v="7"/>
    <n v="7"/>
  </r>
  <r>
    <n v="31"/>
    <x v="0"/>
    <s v="Travel_Frequently"/>
    <n v="703"/>
    <x v="0"/>
    <n v="2"/>
    <n v="3"/>
    <s v="Life Sciences"/>
    <n v="1"/>
    <n v="1379"/>
    <x v="1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x v="3"/>
    <x v="6"/>
    <n v="0"/>
    <n v="0"/>
    <n v="0"/>
  </r>
  <r>
    <n v="35"/>
    <x v="0"/>
    <s v="Travel_Frequently"/>
    <n v="662"/>
    <x v="0"/>
    <n v="18"/>
    <n v="4"/>
    <s v="Marketing"/>
    <n v="1"/>
    <n v="1380"/>
    <x v="2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x v="2"/>
    <x v="9"/>
    <n v="2"/>
    <n v="3"/>
    <n v="2"/>
  </r>
  <r>
    <n v="38"/>
    <x v="1"/>
    <s v="Travel_Frequently"/>
    <n v="693"/>
    <x v="1"/>
    <n v="7"/>
    <n v="3"/>
    <s v="Life Sciences"/>
    <n v="1"/>
    <n v="1382"/>
    <x v="2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x v="1"/>
    <x v="9"/>
    <n v="2"/>
    <n v="0"/>
    <n v="3"/>
  </r>
  <r>
    <n v="34"/>
    <x v="1"/>
    <s v="Travel_Rarely"/>
    <n v="404"/>
    <x v="1"/>
    <n v="2"/>
    <n v="4"/>
    <s v="Technical Degree"/>
    <n v="1"/>
    <n v="1383"/>
    <x v="1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x v="3"/>
    <x v="13"/>
    <n v="11"/>
    <n v="4"/>
    <n v="11"/>
  </r>
  <r>
    <n v="28"/>
    <x v="1"/>
    <s v="Travel_Rarely"/>
    <n v="736"/>
    <x v="0"/>
    <n v="26"/>
    <n v="3"/>
    <s v="Life Sciences"/>
    <n v="1"/>
    <n v="1387"/>
    <x v="1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x v="1"/>
    <x v="8"/>
    <n v="3"/>
    <n v="0"/>
    <n v="4"/>
  </r>
  <r>
    <n v="31"/>
    <x v="0"/>
    <s v="Travel_Rarely"/>
    <n v="330"/>
    <x v="1"/>
    <n v="22"/>
    <n v="4"/>
    <s v="Medical"/>
    <n v="1"/>
    <n v="1389"/>
    <x v="2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x v="2"/>
    <x v="1"/>
    <n v="2"/>
    <n v="6"/>
    <n v="7"/>
  </r>
  <r>
    <n v="39"/>
    <x v="1"/>
    <s v="Travel_Rarely"/>
    <n v="1498"/>
    <x v="0"/>
    <n v="21"/>
    <n v="4"/>
    <s v="Life Sciences"/>
    <n v="1"/>
    <n v="1390"/>
    <x v="3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x v="3"/>
    <x v="8"/>
    <n v="4"/>
    <n v="1"/>
    <n v="4"/>
  </r>
  <r>
    <n v="51"/>
    <x v="1"/>
    <s v="Travel_Frequently"/>
    <n v="541"/>
    <x v="0"/>
    <n v="2"/>
    <n v="3"/>
    <s v="Marketing"/>
    <n v="1"/>
    <n v="1391"/>
    <x v="0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x v="1"/>
    <x v="9"/>
    <n v="2"/>
    <n v="3"/>
    <n v="2"/>
  </r>
  <r>
    <n v="41"/>
    <x v="1"/>
    <s v="Travel_Frequently"/>
    <n v="1200"/>
    <x v="1"/>
    <n v="22"/>
    <n v="3"/>
    <s v="Life Sciences"/>
    <n v="1"/>
    <n v="1392"/>
    <x v="2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x v="2"/>
    <x v="0"/>
    <n v="2"/>
    <n v="3"/>
    <n v="3"/>
  </r>
  <r>
    <n v="37"/>
    <x v="1"/>
    <s v="Travel_Rarely"/>
    <n v="1439"/>
    <x v="1"/>
    <n v="4"/>
    <n v="1"/>
    <s v="Life Sciences"/>
    <n v="1"/>
    <n v="1394"/>
    <x v="1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x v="1"/>
    <x v="0"/>
    <n v="4"/>
    <n v="1"/>
    <n v="3"/>
  </r>
  <r>
    <n v="33"/>
    <x v="1"/>
    <s v="Travel_Frequently"/>
    <n v="1111"/>
    <x v="0"/>
    <n v="5"/>
    <n v="1"/>
    <s v="Life Sciences"/>
    <n v="1"/>
    <n v="1395"/>
    <x v="0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x v="3"/>
    <x v="8"/>
    <n v="4"/>
    <n v="1"/>
    <n v="2"/>
  </r>
  <r>
    <n v="32"/>
    <x v="1"/>
    <s v="Travel_Rarely"/>
    <n v="499"/>
    <x v="0"/>
    <n v="2"/>
    <n v="1"/>
    <s v="Marketing"/>
    <n v="1"/>
    <n v="1396"/>
    <x v="1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x v="2"/>
    <x v="11"/>
    <n v="2"/>
    <n v="1"/>
    <n v="2"/>
  </r>
  <r>
    <n v="39"/>
    <x v="1"/>
    <s v="Non-Travel"/>
    <n v="1485"/>
    <x v="1"/>
    <n v="25"/>
    <n v="2"/>
    <s v="Life Sciences"/>
    <n v="1"/>
    <n v="1397"/>
    <x v="1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x v="1"/>
    <x v="0"/>
    <n v="4"/>
    <n v="0"/>
    <n v="5"/>
  </r>
  <r>
    <n v="25"/>
    <x v="1"/>
    <s v="Travel_Rarely"/>
    <n v="1372"/>
    <x v="0"/>
    <n v="18"/>
    <n v="1"/>
    <s v="Life Sciences"/>
    <n v="1"/>
    <n v="1399"/>
    <x v="3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x v="2"/>
    <x v="11"/>
    <n v="2"/>
    <n v="1"/>
    <n v="2"/>
  </r>
  <r>
    <n v="52"/>
    <x v="1"/>
    <s v="Travel_Frequently"/>
    <n v="322"/>
    <x v="1"/>
    <n v="28"/>
    <n v="2"/>
    <s v="Medical"/>
    <n v="1"/>
    <n v="1401"/>
    <x v="2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x v="2"/>
    <x v="8"/>
    <n v="3"/>
    <n v="0"/>
    <n v="2"/>
  </r>
  <r>
    <n v="43"/>
    <x v="1"/>
    <s v="Travel_Rarely"/>
    <n v="930"/>
    <x v="1"/>
    <n v="6"/>
    <n v="3"/>
    <s v="Medical"/>
    <n v="1"/>
    <n v="1402"/>
    <x v="3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x v="0"/>
    <x v="23"/>
    <n v="7"/>
    <n v="1"/>
    <n v="8"/>
  </r>
  <r>
    <n v="27"/>
    <x v="1"/>
    <s v="Travel_Rarely"/>
    <n v="205"/>
    <x v="0"/>
    <n v="10"/>
    <n v="3"/>
    <s v="Marketing"/>
    <n v="1"/>
    <n v="1403"/>
    <x v="2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x v="1"/>
    <x v="0"/>
    <n v="2"/>
    <n v="4"/>
    <n v="4"/>
  </r>
  <r>
    <n v="27"/>
    <x v="0"/>
    <s v="Travel_Rarely"/>
    <n v="135"/>
    <x v="1"/>
    <n v="17"/>
    <n v="4"/>
    <s v="Life Sciences"/>
    <n v="1"/>
    <n v="1405"/>
    <x v="2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x v="1"/>
    <x v="3"/>
    <n v="2"/>
    <n v="7"/>
    <n v="7"/>
  </r>
  <r>
    <n v="26"/>
    <x v="1"/>
    <s v="Travel_Rarely"/>
    <n v="683"/>
    <x v="1"/>
    <n v="2"/>
    <n v="1"/>
    <s v="Medical"/>
    <n v="1"/>
    <n v="1407"/>
    <x v="3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x v="1"/>
    <x v="9"/>
    <n v="3"/>
    <n v="1"/>
    <n v="1"/>
  </r>
  <r>
    <n v="42"/>
    <x v="1"/>
    <s v="Travel_Rarely"/>
    <n v="1147"/>
    <x v="2"/>
    <n v="10"/>
    <n v="3"/>
    <s v="Human Resources"/>
    <n v="1"/>
    <n v="1408"/>
    <x v="1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x v="1"/>
    <x v="23"/>
    <n v="7"/>
    <n v="0"/>
    <n v="9"/>
  </r>
  <r>
    <n v="52"/>
    <x v="1"/>
    <s v="Travel_Rarely"/>
    <n v="258"/>
    <x v="1"/>
    <n v="8"/>
    <n v="4"/>
    <s v="Other"/>
    <n v="1"/>
    <n v="1409"/>
    <x v="1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x v="0"/>
    <x v="8"/>
    <n v="4"/>
    <n v="0"/>
    <n v="4"/>
  </r>
  <r>
    <n v="37"/>
    <x v="1"/>
    <s v="Travel_Rarely"/>
    <n v="1462"/>
    <x v="1"/>
    <n v="11"/>
    <n v="3"/>
    <s v="Medical"/>
    <n v="1"/>
    <n v="1411"/>
    <x v="3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x v="1"/>
    <x v="11"/>
    <n v="2"/>
    <n v="0"/>
    <n v="2"/>
  </r>
  <r>
    <n v="35"/>
    <x v="1"/>
    <s v="Travel_Frequently"/>
    <n v="200"/>
    <x v="1"/>
    <n v="18"/>
    <n v="2"/>
    <s v="Life Sciences"/>
    <n v="1"/>
    <n v="1412"/>
    <x v="1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x v="1"/>
    <x v="4"/>
    <n v="2"/>
    <n v="2"/>
    <n v="2"/>
  </r>
  <r>
    <n v="25"/>
    <x v="1"/>
    <s v="Travel_Rarely"/>
    <n v="949"/>
    <x v="1"/>
    <n v="1"/>
    <n v="3"/>
    <s v="Technical Degree"/>
    <n v="1"/>
    <n v="1415"/>
    <x v="3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x v="2"/>
    <x v="11"/>
    <n v="2"/>
    <n v="0"/>
    <n v="2"/>
  </r>
  <r>
    <n v="26"/>
    <x v="1"/>
    <s v="Travel_Rarely"/>
    <n v="652"/>
    <x v="1"/>
    <n v="7"/>
    <n v="3"/>
    <s v="Other"/>
    <n v="1"/>
    <n v="1417"/>
    <x v="1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x v="1"/>
    <x v="5"/>
    <n v="7"/>
    <n v="0"/>
    <n v="7"/>
  </r>
  <r>
    <n v="29"/>
    <x v="1"/>
    <s v="Travel_Rarely"/>
    <n v="332"/>
    <x v="2"/>
    <n v="17"/>
    <n v="3"/>
    <s v="Other"/>
    <n v="1"/>
    <n v="1419"/>
    <x v="0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x v="2"/>
    <x v="1"/>
    <n v="9"/>
    <n v="0"/>
    <n v="9"/>
  </r>
  <r>
    <n v="49"/>
    <x v="0"/>
    <s v="Travel_Frequently"/>
    <n v="1475"/>
    <x v="1"/>
    <n v="28"/>
    <n v="2"/>
    <s v="Life Sciences"/>
    <n v="1"/>
    <n v="1420"/>
    <x v="3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x v="1"/>
    <x v="9"/>
    <n v="3"/>
    <n v="1"/>
    <n v="3"/>
  </r>
  <r>
    <n v="29"/>
    <x v="0"/>
    <s v="Travel_Frequently"/>
    <n v="337"/>
    <x v="1"/>
    <n v="14"/>
    <n v="1"/>
    <s v="Other"/>
    <n v="1"/>
    <n v="1421"/>
    <x v="1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x v="1"/>
    <x v="3"/>
    <n v="7"/>
    <n v="7"/>
    <n v="7"/>
  </r>
  <r>
    <n v="54"/>
    <x v="1"/>
    <s v="Travel_Rarely"/>
    <n v="971"/>
    <x v="1"/>
    <n v="1"/>
    <n v="3"/>
    <s v="Medical"/>
    <n v="1"/>
    <n v="1422"/>
    <x v="2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x v="2"/>
    <x v="23"/>
    <n v="7"/>
    <n v="12"/>
    <n v="7"/>
  </r>
  <r>
    <n v="58"/>
    <x v="1"/>
    <s v="Travel_Rarely"/>
    <n v="1055"/>
    <x v="1"/>
    <n v="1"/>
    <n v="3"/>
    <s v="Medical"/>
    <n v="1"/>
    <n v="1423"/>
    <x v="2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x v="1"/>
    <x v="7"/>
    <n v="8"/>
    <n v="1"/>
    <n v="5"/>
  </r>
  <r>
    <n v="55"/>
    <x v="1"/>
    <s v="Travel_Rarely"/>
    <n v="1136"/>
    <x v="1"/>
    <n v="1"/>
    <n v="4"/>
    <s v="Medical"/>
    <n v="1"/>
    <n v="1424"/>
    <x v="0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x v="3"/>
    <x v="5"/>
    <n v="7"/>
    <n v="0"/>
    <n v="0"/>
  </r>
  <r>
    <n v="36"/>
    <x v="1"/>
    <s v="Travel_Rarely"/>
    <n v="1174"/>
    <x v="0"/>
    <n v="3"/>
    <n v="4"/>
    <s v="Marketing"/>
    <n v="1"/>
    <n v="1425"/>
    <x v="3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x v="1"/>
    <x v="8"/>
    <n v="4"/>
    <n v="0"/>
    <n v="1"/>
  </r>
  <r>
    <n v="31"/>
    <x v="0"/>
    <s v="Travel_Frequently"/>
    <n v="667"/>
    <x v="0"/>
    <n v="1"/>
    <n v="4"/>
    <s v="Life Sciences"/>
    <n v="1"/>
    <n v="1427"/>
    <x v="0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x v="1"/>
    <x v="6"/>
    <n v="0"/>
    <n v="0"/>
    <n v="0"/>
  </r>
  <r>
    <n v="30"/>
    <x v="1"/>
    <s v="Travel_Rarely"/>
    <n v="855"/>
    <x v="0"/>
    <n v="7"/>
    <n v="4"/>
    <s v="Marketing"/>
    <n v="1"/>
    <n v="1428"/>
    <x v="2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x v="1"/>
    <x v="11"/>
    <n v="2"/>
    <n v="0"/>
    <n v="2"/>
  </r>
  <r>
    <n v="31"/>
    <x v="1"/>
    <s v="Travel_Rarely"/>
    <n v="182"/>
    <x v="1"/>
    <n v="8"/>
    <n v="5"/>
    <s v="Life Sciences"/>
    <n v="1"/>
    <n v="1430"/>
    <x v="3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x v="3"/>
    <x v="11"/>
    <n v="2"/>
    <n v="1"/>
    <n v="0"/>
  </r>
  <r>
    <n v="34"/>
    <x v="1"/>
    <s v="Travel_Frequently"/>
    <n v="560"/>
    <x v="1"/>
    <n v="1"/>
    <n v="4"/>
    <s v="Other"/>
    <n v="1"/>
    <n v="1431"/>
    <x v="2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x v="1"/>
    <x v="9"/>
    <n v="3"/>
    <n v="1"/>
    <n v="3"/>
  </r>
  <r>
    <n v="31"/>
    <x v="0"/>
    <s v="Travel_Rarely"/>
    <n v="202"/>
    <x v="1"/>
    <n v="8"/>
    <n v="3"/>
    <s v="Life Sciences"/>
    <n v="1"/>
    <n v="1433"/>
    <x v="3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x v="3"/>
    <x v="6"/>
    <n v="0"/>
    <n v="0"/>
    <n v="0"/>
  </r>
  <r>
    <n v="27"/>
    <x v="1"/>
    <s v="Travel_Rarely"/>
    <n v="1377"/>
    <x v="1"/>
    <n v="11"/>
    <n v="1"/>
    <s v="Life Sciences"/>
    <n v="1"/>
    <n v="1434"/>
    <x v="0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x v="3"/>
    <x v="8"/>
    <n v="0"/>
    <n v="1"/>
    <n v="4"/>
  </r>
  <r>
    <n v="36"/>
    <x v="1"/>
    <s v="Travel_Rarely"/>
    <n v="172"/>
    <x v="1"/>
    <n v="4"/>
    <n v="4"/>
    <s v="Life Sciences"/>
    <n v="1"/>
    <n v="1435"/>
    <x v="3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x v="2"/>
    <x v="1"/>
    <n v="4"/>
    <n v="1"/>
    <n v="8"/>
  </r>
  <r>
    <n v="36"/>
    <x v="1"/>
    <s v="Travel_Rarely"/>
    <n v="329"/>
    <x v="0"/>
    <n v="16"/>
    <n v="4"/>
    <s v="Marketing"/>
    <n v="1"/>
    <n v="1436"/>
    <x v="1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x v="2"/>
    <x v="11"/>
    <n v="2"/>
    <n v="0"/>
    <n v="2"/>
  </r>
  <r>
    <n v="47"/>
    <x v="1"/>
    <s v="Travel_Rarely"/>
    <n v="465"/>
    <x v="1"/>
    <n v="1"/>
    <n v="3"/>
    <s v="Technical Degree"/>
    <n v="1"/>
    <n v="1438"/>
    <x v="3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x v="2"/>
    <x v="0"/>
    <n v="5"/>
    <n v="1"/>
    <n v="2"/>
  </r>
  <r>
    <n v="25"/>
    <x v="0"/>
    <s v="Travel_Rarely"/>
    <n v="383"/>
    <x v="0"/>
    <n v="9"/>
    <n v="2"/>
    <s v="Life Sciences"/>
    <n v="1"/>
    <n v="1439"/>
    <x v="3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x v="1"/>
    <x v="11"/>
    <n v="2"/>
    <n v="2"/>
    <n v="2"/>
  </r>
  <r>
    <n v="37"/>
    <x v="1"/>
    <s v="Non-Travel"/>
    <n v="1413"/>
    <x v="1"/>
    <n v="5"/>
    <n v="2"/>
    <s v="Technical Degree"/>
    <n v="1"/>
    <n v="1440"/>
    <x v="1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x v="0"/>
    <x v="0"/>
    <n v="5"/>
    <n v="1"/>
    <n v="3"/>
  </r>
  <r>
    <n v="56"/>
    <x v="1"/>
    <s v="Travel_Rarely"/>
    <n v="1255"/>
    <x v="1"/>
    <n v="1"/>
    <n v="2"/>
    <s v="Life Sciences"/>
    <n v="1"/>
    <n v="1441"/>
    <x v="3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x v="3"/>
    <x v="11"/>
    <n v="2"/>
    <n v="1"/>
    <n v="0"/>
  </r>
  <r>
    <n v="47"/>
    <x v="1"/>
    <s v="Travel_Rarely"/>
    <n v="359"/>
    <x v="1"/>
    <n v="2"/>
    <n v="4"/>
    <s v="Medical"/>
    <n v="1"/>
    <n v="1443"/>
    <x v="3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x v="3"/>
    <x v="23"/>
    <n v="17"/>
    <n v="5"/>
    <n v="6"/>
  </r>
  <r>
    <n v="24"/>
    <x v="1"/>
    <s v="Travel_Rarely"/>
    <n v="1476"/>
    <x v="0"/>
    <n v="4"/>
    <n v="1"/>
    <s v="Medical"/>
    <n v="1"/>
    <n v="1445"/>
    <x v="2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x v="1"/>
    <x v="8"/>
    <n v="4"/>
    <n v="0"/>
    <n v="3"/>
  </r>
  <r>
    <n v="32"/>
    <x v="1"/>
    <s v="Travel_Rarely"/>
    <n v="601"/>
    <x v="0"/>
    <n v="7"/>
    <n v="5"/>
    <s v="Marketing"/>
    <n v="1"/>
    <n v="1446"/>
    <x v="2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x v="2"/>
    <x v="9"/>
    <n v="3"/>
    <n v="0"/>
    <n v="3"/>
  </r>
  <r>
    <n v="34"/>
    <x v="1"/>
    <s v="Travel_Rarely"/>
    <n v="401"/>
    <x v="1"/>
    <n v="1"/>
    <n v="3"/>
    <s v="Life Sciences"/>
    <n v="1"/>
    <n v="1447"/>
    <x v="2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x v="2"/>
    <x v="8"/>
    <n v="4"/>
    <n v="0"/>
    <n v="2"/>
  </r>
  <r>
    <n v="41"/>
    <x v="1"/>
    <s v="Travel_Rarely"/>
    <n v="1283"/>
    <x v="1"/>
    <n v="5"/>
    <n v="5"/>
    <s v="Medical"/>
    <n v="1"/>
    <n v="1448"/>
    <x v="0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x v="2"/>
    <x v="9"/>
    <n v="2"/>
    <n v="0"/>
    <n v="3"/>
  </r>
  <r>
    <n v="40"/>
    <x v="1"/>
    <s v="Non-Travel"/>
    <n v="663"/>
    <x v="1"/>
    <n v="9"/>
    <n v="4"/>
    <s v="Other"/>
    <n v="1"/>
    <n v="1449"/>
    <x v="1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x v="3"/>
    <x v="3"/>
    <n v="7"/>
    <n v="0"/>
    <n v="7"/>
  </r>
  <r>
    <n v="31"/>
    <x v="1"/>
    <s v="Travel_Rarely"/>
    <n v="326"/>
    <x v="0"/>
    <n v="8"/>
    <n v="2"/>
    <s v="Life Sciences"/>
    <n v="1"/>
    <n v="1453"/>
    <x v="3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x v="1"/>
    <x v="20"/>
    <n v="7"/>
    <n v="9"/>
    <n v="9"/>
  </r>
  <r>
    <n v="46"/>
    <x v="0"/>
    <s v="Travel_Rarely"/>
    <n v="377"/>
    <x v="0"/>
    <n v="9"/>
    <n v="3"/>
    <s v="Marketing"/>
    <n v="1"/>
    <n v="1457"/>
    <x v="3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x v="3"/>
    <x v="5"/>
    <n v="7"/>
    <n v="4"/>
    <n v="3"/>
  </r>
  <r>
    <n v="39"/>
    <x v="0"/>
    <s v="Non-Travel"/>
    <n v="592"/>
    <x v="1"/>
    <n v="2"/>
    <n v="3"/>
    <s v="Life Sciences"/>
    <n v="1"/>
    <n v="1458"/>
    <x v="3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x v="3"/>
    <x v="6"/>
    <n v="0"/>
    <n v="0"/>
    <n v="0"/>
  </r>
  <r>
    <n v="31"/>
    <x v="0"/>
    <s v="Travel_Frequently"/>
    <n v="1445"/>
    <x v="1"/>
    <n v="1"/>
    <n v="5"/>
    <s v="Life Sciences"/>
    <n v="1"/>
    <n v="1459"/>
    <x v="1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x v="1"/>
    <x v="1"/>
    <n v="8"/>
    <n v="4"/>
    <n v="7"/>
  </r>
  <r>
    <n v="45"/>
    <x v="1"/>
    <s v="Travel_Rarely"/>
    <n v="1038"/>
    <x v="1"/>
    <n v="20"/>
    <n v="3"/>
    <s v="Medical"/>
    <n v="1"/>
    <n v="1460"/>
    <x v="0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x v="1"/>
    <x v="5"/>
    <n v="7"/>
    <n v="0"/>
    <n v="7"/>
  </r>
  <r>
    <n v="31"/>
    <x v="1"/>
    <s v="Travel_Rarely"/>
    <n v="1398"/>
    <x v="2"/>
    <n v="8"/>
    <n v="2"/>
    <s v="Medical"/>
    <n v="1"/>
    <n v="1461"/>
    <x v="2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x v="1"/>
    <x v="11"/>
    <n v="2"/>
    <n v="0"/>
    <n v="2"/>
  </r>
  <r>
    <n v="31"/>
    <x v="0"/>
    <s v="Travel_Frequently"/>
    <n v="523"/>
    <x v="1"/>
    <n v="2"/>
    <n v="3"/>
    <s v="Life Sciences"/>
    <n v="1"/>
    <n v="1464"/>
    <x v="0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x v="0"/>
    <x v="4"/>
    <n v="2"/>
    <n v="2"/>
    <n v="2"/>
  </r>
  <r>
    <n v="45"/>
    <x v="1"/>
    <s v="Travel_Rarely"/>
    <n v="1448"/>
    <x v="1"/>
    <n v="29"/>
    <n v="3"/>
    <s v="Technical Degree"/>
    <n v="1"/>
    <n v="1465"/>
    <x v="0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x v="3"/>
    <x v="11"/>
    <n v="1"/>
    <n v="1"/>
    <n v="2"/>
  </r>
  <r>
    <n v="48"/>
    <x v="1"/>
    <s v="Travel_Rarely"/>
    <n v="1221"/>
    <x v="0"/>
    <n v="7"/>
    <n v="3"/>
    <s v="Marketing"/>
    <n v="1"/>
    <n v="1466"/>
    <x v="1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x v="1"/>
    <x v="4"/>
    <n v="2"/>
    <n v="2"/>
    <n v="2"/>
  </r>
  <r>
    <n v="34"/>
    <x v="0"/>
    <s v="Travel_Rarely"/>
    <n v="1107"/>
    <x v="2"/>
    <n v="9"/>
    <n v="4"/>
    <s v="Technical Degree"/>
    <n v="1"/>
    <n v="1467"/>
    <x v="3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x v="1"/>
    <x v="4"/>
    <n v="2"/>
    <n v="2"/>
    <n v="2"/>
  </r>
  <r>
    <n v="40"/>
    <x v="1"/>
    <s v="Non-Travel"/>
    <n v="218"/>
    <x v="1"/>
    <n v="8"/>
    <n v="1"/>
    <s v="Medical"/>
    <n v="1"/>
    <n v="1468"/>
    <x v="2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x v="1"/>
    <x v="7"/>
    <n v="8"/>
    <n v="4"/>
    <n v="8"/>
  </r>
  <r>
    <n v="28"/>
    <x v="1"/>
    <s v="Travel_Rarely"/>
    <n v="866"/>
    <x v="0"/>
    <n v="5"/>
    <n v="3"/>
    <s v="Medical"/>
    <n v="1"/>
    <n v="1469"/>
    <x v="2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x v="1"/>
    <x v="8"/>
    <n v="4"/>
    <n v="1"/>
    <n v="3"/>
  </r>
  <r>
    <n v="44"/>
    <x v="1"/>
    <s v="Non-Travel"/>
    <n v="981"/>
    <x v="1"/>
    <n v="5"/>
    <n v="3"/>
    <s v="Life Sciences"/>
    <n v="1"/>
    <n v="1471"/>
    <x v="1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x v="1"/>
    <x v="8"/>
    <n v="2"/>
    <n v="0"/>
    <n v="3"/>
  </r>
  <r>
    <n v="53"/>
    <x v="1"/>
    <s v="Travel_Rarely"/>
    <n v="447"/>
    <x v="1"/>
    <n v="2"/>
    <n v="3"/>
    <s v="Medical"/>
    <n v="1"/>
    <n v="1472"/>
    <x v="2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x v="2"/>
    <x v="7"/>
    <n v="8"/>
    <n v="8"/>
    <n v="8"/>
  </r>
  <r>
    <n v="49"/>
    <x v="1"/>
    <s v="Travel_Rarely"/>
    <n v="1495"/>
    <x v="1"/>
    <n v="5"/>
    <n v="4"/>
    <s v="Technical Degree"/>
    <n v="1"/>
    <n v="1473"/>
    <x v="3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x v="2"/>
    <x v="11"/>
    <n v="2"/>
    <n v="1"/>
    <n v="2"/>
  </r>
  <r>
    <n v="40"/>
    <x v="1"/>
    <s v="Travel_Rarely"/>
    <n v="896"/>
    <x v="1"/>
    <n v="2"/>
    <n v="3"/>
    <s v="Medical"/>
    <n v="1"/>
    <n v="1474"/>
    <x v="1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x v="3"/>
    <x v="11"/>
    <n v="1"/>
    <n v="1"/>
    <n v="2"/>
  </r>
  <r>
    <n v="44"/>
    <x v="1"/>
    <s v="Travel_Rarely"/>
    <n v="1467"/>
    <x v="1"/>
    <n v="20"/>
    <n v="3"/>
    <s v="Life Sciences"/>
    <n v="1"/>
    <n v="1475"/>
    <x v="2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x v="2"/>
    <x v="8"/>
    <n v="2"/>
    <n v="1"/>
    <n v="3"/>
  </r>
  <r>
    <n v="33"/>
    <x v="1"/>
    <s v="Travel_Frequently"/>
    <n v="430"/>
    <x v="0"/>
    <n v="7"/>
    <n v="3"/>
    <s v="Medical"/>
    <n v="1"/>
    <n v="1477"/>
    <x v="2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x v="1"/>
    <x v="9"/>
    <n v="3"/>
    <n v="0"/>
    <n v="3"/>
  </r>
  <r>
    <n v="34"/>
    <x v="1"/>
    <s v="Travel_Rarely"/>
    <n v="1326"/>
    <x v="0"/>
    <n v="3"/>
    <n v="3"/>
    <s v="Other"/>
    <n v="1"/>
    <n v="1478"/>
    <x v="2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x v="1"/>
    <x v="20"/>
    <n v="9"/>
    <n v="3"/>
    <n v="12"/>
  </r>
  <r>
    <n v="30"/>
    <x v="1"/>
    <s v="Travel_Rarely"/>
    <n v="1358"/>
    <x v="0"/>
    <n v="16"/>
    <n v="1"/>
    <s v="Life Sciences"/>
    <n v="1"/>
    <n v="1479"/>
    <x v="2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x v="2"/>
    <x v="4"/>
    <n v="1"/>
    <n v="2"/>
    <n v="2"/>
  </r>
  <r>
    <n v="42"/>
    <x v="1"/>
    <s v="Travel_Frequently"/>
    <n v="748"/>
    <x v="1"/>
    <n v="9"/>
    <n v="2"/>
    <s v="Medical"/>
    <n v="1"/>
    <n v="1480"/>
    <x v="3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x v="1"/>
    <x v="12"/>
    <n v="9"/>
    <n v="5"/>
    <n v="8"/>
  </r>
  <r>
    <n v="44"/>
    <x v="1"/>
    <s v="Travel_Frequently"/>
    <n v="383"/>
    <x v="0"/>
    <n v="1"/>
    <n v="5"/>
    <s v="Marketing"/>
    <n v="1"/>
    <n v="1481"/>
    <x v="3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x v="2"/>
    <x v="6"/>
    <n v="0"/>
    <n v="0"/>
    <n v="0"/>
  </r>
  <r>
    <n v="30"/>
    <x v="1"/>
    <s v="Non-Travel"/>
    <n v="990"/>
    <x v="1"/>
    <n v="7"/>
    <n v="3"/>
    <s v="Technical Degree"/>
    <n v="1"/>
    <n v="1482"/>
    <x v="1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x v="2"/>
    <x v="6"/>
    <n v="0"/>
    <n v="0"/>
    <n v="0"/>
  </r>
  <r>
    <n v="57"/>
    <x v="1"/>
    <s v="Travel_Rarely"/>
    <n v="405"/>
    <x v="1"/>
    <n v="1"/>
    <n v="2"/>
    <s v="Life Sciences"/>
    <n v="1"/>
    <n v="1483"/>
    <x v="0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x v="2"/>
    <x v="12"/>
    <n v="9"/>
    <n v="2"/>
    <n v="8"/>
  </r>
  <r>
    <n v="49"/>
    <x v="1"/>
    <s v="Travel_Rarely"/>
    <n v="1490"/>
    <x v="1"/>
    <n v="7"/>
    <n v="4"/>
    <s v="Life Sciences"/>
    <n v="1"/>
    <n v="1484"/>
    <x v="1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x v="1"/>
    <x v="3"/>
    <n v="7"/>
    <n v="0"/>
    <n v="7"/>
  </r>
  <r>
    <n v="34"/>
    <x v="1"/>
    <s v="Travel_Frequently"/>
    <n v="829"/>
    <x v="1"/>
    <n v="15"/>
    <n v="3"/>
    <s v="Medical"/>
    <n v="1"/>
    <n v="1485"/>
    <x v="0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x v="2"/>
    <x v="13"/>
    <n v="8"/>
    <n v="6"/>
    <n v="9"/>
  </r>
  <r>
    <n v="28"/>
    <x v="0"/>
    <s v="Travel_Frequently"/>
    <n v="1496"/>
    <x v="0"/>
    <n v="1"/>
    <n v="3"/>
    <s v="Technical Degree"/>
    <n v="1"/>
    <n v="1486"/>
    <x v="3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x v="3"/>
    <x v="11"/>
    <n v="2"/>
    <n v="1"/>
    <n v="2"/>
  </r>
  <r>
    <n v="29"/>
    <x v="0"/>
    <s v="Travel_Frequently"/>
    <n v="115"/>
    <x v="0"/>
    <n v="13"/>
    <n v="3"/>
    <s v="Technical Degree"/>
    <n v="1"/>
    <n v="1487"/>
    <x v="3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x v="0"/>
    <x v="8"/>
    <n v="3"/>
    <n v="0"/>
    <n v="0"/>
  </r>
  <r>
    <n v="34"/>
    <x v="0"/>
    <s v="Travel_Rarely"/>
    <n v="790"/>
    <x v="0"/>
    <n v="24"/>
    <n v="4"/>
    <s v="Medical"/>
    <n v="1"/>
    <n v="1489"/>
    <x v="3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x v="3"/>
    <x v="15"/>
    <n v="9"/>
    <n v="10"/>
    <n v="10"/>
  </r>
  <r>
    <n v="35"/>
    <x v="1"/>
    <s v="Travel_Rarely"/>
    <n v="660"/>
    <x v="0"/>
    <n v="7"/>
    <n v="1"/>
    <s v="Life Sciences"/>
    <n v="1"/>
    <n v="1492"/>
    <x v="2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x v="1"/>
    <x v="6"/>
    <n v="0"/>
    <n v="0"/>
    <n v="0"/>
  </r>
  <r>
    <n v="24"/>
    <x v="0"/>
    <s v="Travel_Frequently"/>
    <n v="381"/>
    <x v="1"/>
    <n v="9"/>
    <n v="3"/>
    <s v="Medical"/>
    <n v="1"/>
    <n v="1494"/>
    <x v="0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x v="2"/>
    <x v="2"/>
    <n v="0"/>
    <n v="0"/>
    <n v="0"/>
  </r>
  <r>
    <n v="24"/>
    <x v="1"/>
    <s v="Non-Travel"/>
    <n v="830"/>
    <x v="0"/>
    <n v="13"/>
    <n v="2"/>
    <s v="Life Sciences"/>
    <n v="1"/>
    <n v="1495"/>
    <x v="2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x v="1"/>
    <x v="6"/>
    <n v="0"/>
    <n v="0"/>
    <n v="0"/>
  </r>
  <r>
    <n v="44"/>
    <x v="1"/>
    <s v="Travel_Frequently"/>
    <n v="1193"/>
    <x v="1"/>
    <n v="2"/>
    <n v="1"/>
    <s v="Medical"/>
    <n v="1"/>
    <n v="1496"/>
    <x v="0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x v="2"/>
    <x v="4"/>
    <n v="2"/>
    <n v="2"/>
    <n v="2"/>
  </r>
  <r>
    <n v="29"/>
    <x v="1"/>
    <s v="Travel_Rarely"/>
    <n v="1246"/>
    <x v="0"/>
    <n v="19"/>
    <n v="3"/>
    <s v="Life Sciences"/>
    <n v="1"/>
    <n v="1497"/>
    <x v="1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x v="1"/>
    <x v="1"/>
    <n v="7"/>
    <n v="0"/>
    <n v="4"/>
  </r>
  <r>
    <n v="30"/>
    <x v="1"/>
    <s v="Travel_Rarely"/>
    <n v="330"/>
    <x v="2"/>
    <n v="1"/>
    <n v="3"/>
    <s v="Life Sciences"/>
    <n v="1"/>
    <n v="1499"/>
    <x v="1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x v="3"/>
    <x v="8"/>
    <n v="3"/>
    <n v="1"/>
    <n v="3"/>
  </r>
  <r>
    <n v="55"/>
    <x v="1"/>
    <s v="Travel_Rarely"/>
    <n v="1229"/>
    <x v="1"/>
    <n v="4"/>
    <n v="4"/>
    <s v="Life Sciences"/>
    <n v="1"/>
    <n v="1501"/>
    <x v="2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x v="1"/>
    <x v="11"/>
    <n v="2"/>
    <n v="1"/>
    <n v="2"/>
  </r>
  <r>
    <n v="33"/>
    <x v="1"/>
    <s v="Travel_Rarely"/>
    <n v="1099"/>
    <x v="1"/>
    <n v="4"/>
    <n v="4"/>
    <s v="Medical"/>
    <n v="1"/>
    <n v="1502"/>
    <x v="3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x v="1"/>
    <x v="8"/>
    <n v="4"/>
    <n v="0"/>
    <n v="2"/>
  </r>
  <r>
    <n v="47"/>
    <x v="1"/>
    <s v="Travel_Rarely"/>
    <n v="571"/>
    <x v="0"/>
    <n v="14"/>
    <n v="3"/>
    <s v="Medical"/>
    <n v="1"/>
    <n v="1503"/>
    <x v="1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x v="2"/>
    <x v="8"/>
    <n v="4"/>
    <n v="1"/>
    <n v="2"/>
  </r>
  <r>
    <n v="28"/>
    <x v="0"/>
    <s v="Travel_Frequently"/>
    <n v="289"/>
    <x v="1"/>
    <n v="2"/>
    <n v="2"/>
    <s v="Medical"/>
    <n v="1"/>
    <n v="1504"/>
    <x v="1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x v="2"/>
    <x v="2"/>
    <n v="0"/>
    <n v="0"/>
    <n v="0"/>
  </r>
  <r>
    <n v="28"/>
    <x v="1"/>
    <s v="Travel_Rarely"/>
    <n v="1423"/>
    <x v="1"/>
    <n v="1"/>
    <n v="3"/>
    <s v="Life Sciences"/>
    <n v="1"/>
    <n v="1506"/>
    <x v="3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x v="0"/>
    <x v="6"/>
    <n v="0"/>
    <n v="0"/>
    <n v="0"/>
  </r>
  <r>
    <n v="28"/>
    <x v="1"/>
    <s v="Travel_Frequently"/>
    <n v="467"/>
    <x v="0"/>
    <n v="7"/>
    <n v="3"/>
    <s v="Life Sciences"/>
    <n v="1"/>
    <n v="1507"/>
    <x v="1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x v="1"/>
    <x v="9"/>
    <n v="2"/>
    <n v="1"/>
    <n v="3"/>
  </r>
  <r>
    <n v="49"/>
    <x v="1"/>
    <s v="Travel_Rarely"/>
    <n v="271"/>
    <x v="1"/>
    <n v="3"/>
    <n v="2"/>
    <s v="Medical"/>
    <n v="1"/>
    <n v="1509"/>
    <x v="1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x v="1"/>
    <x v="11"/>
    <n v="2"/>
    <n v="1"/>
    <n v="2"/>
  </r>
  <r>
    <n v="29"/>
    <x v="1"/>
    <s v="Travel_Frequently"/>
    <n v="410"/>
    <x v="1"/>
    <n v="2"/>
    <n v="1"/>
    <s v="Life Sciences"/>
    <n v="1"/>
    <n v="1513"/>
    <x v="2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x v="1"/>
    <x v="11"/>
    <n v="2"/>
    <n v="0"/>
    <n v="2"/>
  </r>
  <r>
    <n v="28"/>
    <x v="1"/>
    <s v="Travel_Rarely"/>
    <n v="1083"/>
    <x v="1"/>
    <n v="29"/>
    <n v="1"/>
    <s v="Life Sciences"/>
    <n v="1"/>
    <n v="1514"/>
    <x v="1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x v="2"/>
    <x v="3"/>
    <n v="6"/>
    <n v="1"/>
    <n v="7"/>
  </r>
  <r>
    <n v="33"/>
    <x v="1"/>
    <s v="Travel_Rarely"/>
    <n v="516"/>
    <x v="1"/>
    <n v="8"/>
    <n v="5"/>
    <s v="Life Sciences"/>
    <n v="1"/>
    <n v="1515"/>
    <x v="2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x v="1"/>
    <x v="2"/>
    <n v="0"/>
    <n v="0"/>
    <n v="0"/>
  </r>
  <r>
    <n v="32"/>
    <x v="1"/>
    <s v="Travel_Rarely"/>
    <n v="495"/>
    <x v="1"/>
    <n v="10"/>
    <n v="3"/>
    <s v="Medical"/>
    <n v="1"/>
    <n v="1516"/>
    <x v="1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x v="3"/>
    <x v="8"/>
    <n v="2"/>
    <n v="0"/>
    <n v="0"/>
  </r>
  <r>
    <n v="54"/>
    <x v="1"/>
    <s v="Travel_Frequently"/>
    <n v="1050"/>
    <x v="1"/>
    <n v="11"/>
    <n v="4"/>
    <s v="Medical"/>
    <n v="1"/>
    <n v="1520"/>
    <x v="0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x v="1"/>
    <x v="13"/>
    <n v="9"/>
    <n v="1"/>
    <n v="12"/>
  </r>
  <r>
    <n v="29"/>
    <x v="0"/>
    <s v="Travel_Rarely"/>
    <n v="224"/>
    <x v="1"/>
    <n v="1"/>
    <n v="4"/>
    <s v="Technical Degree"/>
    <n v="1"/>
    <n v="1522"/>
    <x v="3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x v="0"/>
    <x v="7"/>
    <n v="7"/>
    <n v="0"/>
    <n v="7"/>
  </r>
  <r>
    <n v="44"/>
    <x v="1"/>
    <s v="Travel_Rarely"/>
    <n v="136"/>
    <x v="1"/>
    <n v="28"/>
    <n v="3"/>
    <s v="Life Sciences"/>
    <n v="1"/>
    <n v="1523"/>
    <x v="2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x v="3"/>
    <x v="23"/>
    <n v="6"/>
    <n v="14"/>
    <n v="17"/>
  </r>
  <r>
    <n v="39"/>
    <x v="1"/>
    <s v="Travel_Rarely"/>
    <n v="1089"/>
    <x v="1"/>
    <n v="6"/>
    <n v="3"/>
    <s v="Life Sciences"/>
    <n v="1"/>
    <n v="1525"/>
    <x v="0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x v="1"/>
    <x v="4"/>
    <n v="0"/>
    <n v="2"/>
    <n v="2"/>
  </r>
  <r>
    <n v="46"/>
    <x v="1"/>
    <s v="Travel_Rarely"/>
    <n v="228"/>
    <x v="0"/>
    <n v="3"/>
    <n v="3"/>
    <s v="Life Sciences"/>
    <n v="1"/>
    <n v="1527"/>
    <x v="1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x v="3"/>
    <x v="20"/>
    <n v="12"/>
    <n v="5"/>
    <n v="1"/>
  </r>
  <r>
    <n v="35"/>
    <x v="1"/>
    <s v="Travel_Rarely"/>
    <n v="1029"/>
    <x v="1"/>
    <n v="16"/>
    <n v="3"/>
    <s v="Life Sciences"/>
    <n v="1"/>
    <n v="1529"/>
    <x v="2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x v="0"/>
    <x v="19"/>
    <n v="8"/>
    <n v="3"/>
    <n v="3"/>
  </r>
  <r>
    <n v="23"/>
    <x v="1"/>
    <s v="Travel_Rarely"/>
    <n v="507"/>
    <x v="1"/>
    <n v="20"/>
    <n v="1"/>
    <s v="Life Sciences"/>
    <n v="1"/>
    <n v="1533"/>
    <x v="3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x v="1"/>
    <x v="9"/>
    <n v="3"/>
    <n v="1"/>
    <n v="2"/>
  </r>
  <r>
    <n v="40"/>
    <x v="0"/>
    <s v="Travel_Rarely"/>
    <n v="676"/>
    <x v="1"/>
    <n v="9"/>
    <n v="4"/>
    <s v="Life Sciences"/>
    <n v="1"/>
    <n v="1534"/>
    <x v="2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x v="0"/>
    <x v="8"/>
    <n v="4"/>
    <n v="1"/>
    <n v="0"/>
  </r>
  <r>
    <n v="34"/>
    <x v="1"/>
    <s v="Travel_Rarely"/>
    <n v="971"/>
    <x v="0"/>
    <n v="1"/>
    <n v="3"/>
    <s v="Technical Degree"/>
    <n v="1"/>
    <n v="1535"/>
    <x v="2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x v="1"/>
    <x v="1"/>
    <n v="9"/>
    <n v="8"/>
    <n v="6"/>
  </r>
  <r>
    <n v="31"/>
    <x v="0"/>
    <s v="Travel_Frequently"/>
    <n v="561"/>
    <x v="1"/>
    <n v="3"/>
    <n v="3"/>
    <s v="Life Sciences"/>
    <n v="1"/>
    <n v="1537"/>
    <x v="2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x v="0"/>
    <x v="5"/>
    <n v="2"/>
    <n v="7"/>
    <n v="7"/>
  </r>
  <r>
    <n v="50"/>
    <x v="1"/>
    <s v="Travel_Frequently"/>
    <n v="333"/>
    <x v="1"/>
    <n v="22"/>
    <n v="5"/>
    <s v="Medical"/>
    <n v="1"/>
    <n v="1539"/>
    <x v="1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x v="1"/>
    <x v="32"/>
    <n v="6"/>
    <n v="13"/>
    <n v="9"/>
  </r>
  <r>
    <n v="34"/>
    <x v="1"/>
    <s v="Travel_Rarely"/>
    <n v="1440"/>
    <x v="0"/>
    <n v="7"/>
    <n v="2"/>
    <s v="Technical Degree"/>
    <n v="1"/>
    <n v="1541"/>
    <x v="0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x v="1"/>
    <x v="19"/>
    <n v="10"/>
    <n v="5"/>
    <n v="7"/>
  </r>
  <r>
    <n v="42"/>
    <x v="1"/>
    <s v="Travel_Rarely"/>
    <n v="1210"/>
    <x v="1"/>
    <n v="2"/>
    <n v="3"/>
    <s v="Medical"/>
    <n v="1"/>
    <n v="1542"/>
    <x v="1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x v="1"/>
    <x v="6"/>
    <n v="0"/>
    <n v="0"/>
    <n v="0"/>
  </r>
  <r>
    <n v="37"/>
    <x v="1"/>
    <s v="Travel_Rarely"/>
    <n v="674"/>
    <x v="1"/>
    <n v="13"/>
    <n v="3"/>
    <s v="Medical"/>
    <n v="1"/>
    <n v="1543"/>
    <x v="3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x v="1"/>
    <x v="1"/>
    <n v="8"/>
    <n v="3"/>
    <n v="7"/>
  </r>
  <r>
    <n v="29"/>
    <x v="1"/>
    <s v="Travel_Rarely"/>
    <n v="441"/>
    <x v="1"/>
    <n v="8"/>
    <n v="1"/>
    <s v="Other"/>
    <n v="1"/>
    <n v="1544"/>
    <x v="1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x v="1"/>
    <x v="5"/>
    <n v="7"/>
    <n v="0"/>
    <n v="7"/>
  </r>
  <r>
    <n v="33"/>
    <x v="1"/>
    <s v="Travel_Rarely"/>
    <n v="575"/>
    <x v="1"/>
    <n v="25"/>
    <n v="3"/>
    <s v="Life Sciences"/>
    <n v="1"/>
    <n v="1545"/>
    <x v="2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x v="1"/>
    <x v="8"/>
    <n v="3"/>
    <n v="0"/>
    <n v="2"/>
  </r>
  <r>
    <n v="45"/>
    <x v="1"/>
    <s v="Travel_Rarely"/>
    <n v="950"/>
    <x v="1"/>
    <n v="28"/>
    <n v="3"/>
    <s v="Technical Degree"/>
    <n v="1"/>
    <n v="1546"/>
    <x v="2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x v="1"/>
    <x v="8"/>
    <n v="4"/>
    <n v="0"/>
    <n v="3"/>
  </r>
  <r>
    <n v="42"/>
    <x v="1"/>
    <s v="Travel_Frequently"/>
    <n v="288"/>
    <x v="1"/>
    <n v="2"/>
    <n v="3"/>
    <s v="Life Sciences"/>
    <n v="1"/>
    <n v="1547"/>
    <x v="2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x v="0"/>
    <x v="23"/>
    <n v="8"/>
    <n v="13"/>
    <n v="9"/>
  </r>
  <r>
    <n v="40"/>
    <x v="1"/>
    <s v="Travel_Rarely"/>
    <n v="1342"/>
    <x v="0"/>
    <n v="9"/>
    <n v="2"/>
    <s v="Medical"/>
    <n v="1"/>
    <n v="1548"/>
    <x v="3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x v="3"/>
    <x v="3"/>
    <n v="4"/>
    <n v="7"/>
    <n v="1"/>
  </r>
  <r>
    <n v="33"/>
    <x v="1"/>
    <s v="Travel_Rarely"/>
    <n v="589"/>
    <x v="1"/>
    <n v="28"/>
    <n v="4"/>
    <s v="Life Sciences"/>
    <n v="1"/>
    <n v="1549"/>
    <x v="0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x v="1"/>
    <x v="15"/>
    <n v="14"/>
    <n v="5"/>
    <n v="7"/>
  </r>
  <r>
    <n v="40"/>
    <x v="1"/>
    <s v="Travel_Rarely"/>
    <n v="898"/>
    <x v="2"/>
    <n v="6"/>
    <n v="2"/>
    <s v="Medical"/>
    <n v="1"/>
    <n v="1550"/>
    <x v="1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x v="1"/>
    <x v="17"/>
    <n v="7"/>
    <n v="7"/>
    <n v="7"/>
  </r>
  <r>
    <n v="24"/>
    <x v="1"/>
    <s v="Travel_Rarely"/>
    <n v="350"/>
    <x v="1"/>
    <n v="21"/>
    <n v="2"/>
    <s v="Technical Degree"/>
    <n v="1"/>
    <n v="1551"/>
    <x v="1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x v="1"/>
    <x v="6"/>
    <n v="1"/>
    <n v="0"/>
    <n v="0"/>
  </r>
  <r>
    <n v="40"/>
    <x v="1"/>
    <s v="Non-Travel"/>
    <n v="1142"/>
    <x v="1"/>
    <n v="8"/>
    <n v="2"/>
    <s v="Life Sciences"/>
    <n v="1"/>
    <n v="1552"/>
    <x v="2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x v="1"/>
    <x v="4"/>
    <n v="2"/>
    <n v="2"/>
    <n v="2"/>
  </r>
  <r>
    <n v="45"/>
    <x v="1"/>
    <s v="Travel_Rarely"/>
    <n v="538"/>
    <x v="1"/>
    <n v="1"/>
    <n v="4"/>
    <s v="Technical Degree"/>
    <n v="1"/>
    <n v="1553"/>
    <x v="3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x v="1"/>
    <x v="1"/>
    <n v="8"/>
    <n v="7"/>
    <n v="7"/>
  </r>
  <r>
    <n v="35"/>
    <x v="1"/>
    <s v="Travel_Rarely"/>
    <n v="1402"/>
    <x v="0"/>
    <n v="28"/>
    <n v="4"/>
    <s v="Life Sciences"/>
    <n v="1"/>
    <n v="1554"/>
    <x v="0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x v="1"/>
    <x v="8"/>
    <n v="3"/>
    <n v="4"/>
    <n v="2"/>
  </r>
  <r>
    <n v="32"/>
    <x v="1"/>
    <s v="Travel_Rarely"/>
    <n v="824"/>
    <x v="1"/>
    <n v="5"/>
    <n v="2"/>
    <s v="Life Sciences"/>
    <n v="1"/>
    <n v="1555"/>
    <x v="2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x v="1"/>
    <x v="5"/>
    <n v="1"/>
    <n v="2"/>
    <n v="5"/>
  </r>
  <r>
    <n v="36"/>
    <x v="1"/>
    <s v="Travel_Rarely"/>
    <n v="1157"/>
    <x v="0"/>
    <n v="2"/>
    <n v="4"/>
    <s v="Life Sciences"/>
    <n v="1"/>
    <n v="1556"/>
    <x v="1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x v="2"/>
    <x v="11"/>
    <n v="2"/>
    <n v="1"/>
    <n v="2"/>
  </r>
  <r>
    <n v="48"/>
    <x v="1"/>
    <s v="Travel_Rarely"/>
    <n v="492"/>
    <x v="0"/>
    <n v="16"/>
    <n v="4"/>
    <s v="Life Sciences"/>
    <n v="1"/>
    <n v="1557"/>
    <x v="1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x v="1"/>
    <x v="3"/>
    <n v="7"/>
    <n v="7"/>
    <n v="7"/>
  </r>
  <r>
    <n v="29"/>
    <x v="1"/>
    <s v="Travel_Rarely"/>
    <n v="598"/>
    <x v="1"/>
    <n v="9"/>
    <n v="3"/>
    <s v="Life Sciences"/>
    <n v="1"/>
    <n v="1558"/>
    <x v="1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x v="2"/>
    <x v="6"/>
    <n v="0"/>
    <n v="0"/>
    <n v="0"/>
  </r>
  <r>
    <n v="33"/>
    <x v="1"/>
    <s v="Travel_Rarely"/>
    <n v="1242"/>
    <x v="0"/>
    <n v="8"/>
    <n v="4"/>
    <s v="Life Sciences"/>
    <n v="1"/>
    <n v="1560"/>
    <x v="3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x v="0"/>
    <x v="4"/>
    <n v="2"/>
    <n v="2"/>
    <n v="2"/>
  </r>
  <r>
    <n v="30"/>
    <x v="0"/>
    <s v="Travel_Rarely"/>
    <n v="740"/>
    <x v="0"/>
    <n v="1"/>
    <n v="3"/>
    <s v="Life Sciences"/>
    <n v="1"/>
    <n v="1562"/>
    <x v="0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x v="1"/>
    <x v="1"/>
    <n v="8"/>
    <n v="6"/>
    <n v="7"/>
  </r>
  <r>
    <n v="38"/>
    <x v="1"/>
    <s v="Travel_Frequently"/>
    <n v="888"/>
    <x v="2"/>
    <n v="10"/>
    <n v="4"/>
    <s v="Human Resources"/>
    <n v="1"/>
    <n v="1563"/>
    <x v="1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x v="1"/>
    <x v="0"/>
    <n v="3"/>
    <n v="1"/>
    <n v="2"/>
  </r>
  <r>
    <n v="35"/>
    <x v="1"/>
    <s v="Travel_Rarely"/>
    <n v="992"/>
    <x v="1"/>
    <n v="1"/>
    <n v="3"/>
    <s v="Medical"/>
    <n v="1"/>
    <n v="1564"/>
    <x v="2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x v="1"/>
    <x v="11"/>
    <n v="0"/>
    <n v="1"/>
    <n v="2"/>
  </r>
  <r>
    <n v="30"/>
    <x v="1"/>
    <s v="Travel_Rarely"/>
    <n v="1288"/>
    <x v="0"/>
    <n v="29"/>
    <n v="4"/>
    <s v="Technical Degree"/>
    <n v="1"/>
    <n v="1568"/>
    <x v="1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x v="1"/>
    <x v="9"/>
    <n v="2"/>
    <n v="1"/>
    <n v="3"/>
  </r>
  <r>
    <n v="35"/>
    <x v="0"/>
    <s v="Travel_Rarely"/>
    <n v="104"/>
    <x v="1"/>
    <n v="2"/>
    <n v="3"/>
    <s v="Life Sciences"/>
    <n v="1"/>
    <n v="1569"/>
    <x v="3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x v="1"/>
    <x v="6"/>
    <n v="0"/>
    <n v="0"/>
    <n v="0"/>
  </r>
  <r>
    <n v="53"/>
    <x v="0"/>
    <s v="Travel_Rarely"/>
    <n v="607"/>
    <x v="1"/>
    <n v="2"/>
    <n v="5"/>
    <s v="Technical Degree"/>
    <n v="1"/>
    <n v="1572"/>
    <x v="1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x v="1"/>
    <x v="26"/>
    <n v="7"/>
    <n v="1"/>
    <n v="9"/>
  </r>
  <r>
    <n v="38"/>
    <x v="0"/>
    <s v="Travel_Rarely"/>
    <n v="903"/>
    <x v="1"/>
    <n v="2"/>
    <n v="3"/>
    <s v="Medical"/>
    <n v="1"/>
    <n v="1573"/>
    <x v="1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x v="1"/>
    <x v="8"/>
    <n v="2"/>
    <n v="1"/>
    <n v="4"/>
  </r>
  <r>
    <n v="32"/>
    <x v="1"/>
    <s v="Non-Travel"/>
    <n v="1200"/>
    <x v="1"/>
    <n v="1"/>
    <n v="4"/>
    <s v="Technical Degree"/>
    <n v="1"/>
    <n v="1574"/>
    <x v="2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x v="2"/>
    <x v="0"/>
    <n v="5"/>
    <n v="1"/>
    <n v="2"/>
  </r>
  <r>
    <n v="48"/>
    <x v="1"/>
    <s v="Travel_Rarely"/>
    <n v="1108"/>
    <x v="1"/>
    <n v="15"/>
    <n v="4"/>
    <s v="Other"/>
    <n v="1"/>
    <n v="1576"/>
    <x v="1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x v="2"/>
    <x v="3"/>
    <n v="2"/>
    <n v="7"/>
    <n v="6"/>
  </r>
  <r>
    <n v="34"/>
    <x v="1"/>
    <s v="Travel_Rarely"/>
    <n v="479"/>
    <x v="1"/>
    <n v="7"/>
    <n v="4"/>
    <s v="Medical"/>
    <n v="1"/>
    <n v="1577"/>
    <x v="3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x v="0"/>
    <x v="6"/>
    <n v="0"/>
    <n v="0"/>
    <n v="0"/>
  </r>
  <r>
    <n v="55"/>
    <x v="1"/>
    <s v="Travel_Rarely"/>
    <n v="685"/>
    <x v="0"/>
    <n v="26"/>
    <n v="5"/>
    <s v="Marketing"/>
    <n v="1"/>
    <n v="1578"/>
    <x v="1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x v="1"/>
    <x v="28"/>
    <n v="6"/>
    <n v="2"/>
    <n v="13"/>
  </r>
  <r>
    <n v="34"/>
    <x v="1"/>
    <s v="Travel_Rarely"/>
    <n v="1351"/>
    <x v="1"/>
    <n v="1"/>
    <n v="4"/>
    <s v="Life Sciences"/>
    <n v="1"/>
    <n v="1580"/>
    <x v="0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x v="2"/>
    <x v="4"/>
    <n v="2"/>
    <n v="2"/>
    <n v="1"/>
  </r>
  <r>
    <n v="26"/>
    <x v="1"/>
    <s v="Travel_Rarely"/>
    <n v="474"/>
    <x v="1"/>
    <n v="3"/>
    <n v="3"/>
    <s v="Life Sciences"/>
    <n v="1"/>
    <n v="1581"/>
    <x v="3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x v="1"/>
    <x v="6"/>
    <n v="0"/>
    <n v="0"/>
    <n v="0"/>
  </r>
  <r>
    <n v="38"/>
    <x v="1"/>
    <s v="Travel_Rarely"/>
    <n v="1245"/>
    <x v="0"/>
    <n v="14"/>
    <n v="3"/>
    <s v="Life Sciences"/>
    <n v="1"/>
    <n v="1582"/>
    <x v="1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x v="1"/>
    <x v="7"/>
    <n v="8"/>
    <n v="7"/>
    <n v="7"/>
  </r>
  <r>
    <n v="38"/>
    <x v="1"/>
    <s v="Travel_Rarely"/>
    <n v="437"/>
    <x v="0"/>
    <n v="16"/>
    <n v="3"/>
    <s v="Life Sciences"/>
    <n v="1"/>
    <n v="1583"/>
    <x v="0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x v="3"/>
    <x v="11"/>
    <n v="2"/>
    <n v="1"/>
    <n v="2"/>
  </r>
  <r>
    <n v="36"/>
    <x v="1"/>
    <s v="Travel_Rarely"/>
    <n v="884"/>
    <x v="0"/>
    <n v="1"/>
    <n v="4"/>
    <s v="Life Sciences"/>
    <n v="1"/>
    <n v="1585"/>
    <x v="0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x v="1"/>
    <x v="6"/>
    <n v="0"/>
    <n v="0"/>
    <n v="0"/>
  </r>
  <r>
    <n v="29"/>
    <x v="1"/>
    <s v="Travel_Rarely"/>
    <n v="1370"/>
    <x v="1"/>
    <n v="3"/>
    <n v="1"/>
    <s v="Medical"/>
    <n v="1"/>
    <n v="1586"/>
    <x v="0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x v="1"/>
    <x v="1"/>
    <n v="9"/>
    <n v="1"/>
    <n v="5"/>
  </r>
  <r>
    <n v="35"/>
    <x v="1"/>
    <s v="Travel_Rarely"/>
    <n v="670"/>
    <x v="1"/>
    <n v="10"/>
    <n v="4"/>
    <s v="Medical"/>
    <n v="1"/>
    <n v="1587"/>
    <x v="3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x v="1"/>
    <x v="8"/>
    <n v="2"/>
    <n v="0"/>
    <n v="4"/>
  </r>
  <r>
    <n v="39"/>
    <x v="1"/>
    <s v="Travel_Rarely"/>
    <n v="1462"/>
    <x v="0"/>
    <n v="6"/>
    <n v="3"/>
    <s v="Medical"/>
    <n v="1"/>
    <n v="1588"/>
    <x v="2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x v="1"/>
    <x v="5"/>
    <n v="6"/>
    <n v="7"/>
    <n v="6"/>
  </r>
  <r>
    <n v="29"/>
    <x v="1"/>
    <s v="Travel_Frequently"/>
    <n v="995"/>
    <x v="1"/>
    <n v="2"/>
    <n v="1"/>
    <s v="Life Sciences"/>
    <n v="1"/>
    <n v="1590"/>
    <x v="3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x v="3"/>
    <x v="0"/>
    <n v="4"/>
    <n v="1"/>
    <n v="3"/>
  </r>
  <r>
    <n v="50"/>
    <x v="1"/>
    <s v="Travel_Rarely"/>
    <n v="264"/>
    <x v="0"/>
    <n v="9"/>
    <n v="3"/>
    <s v="Marketing"/>
    <n v="1"/>
    <n v="1591"/>
    <x v="1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x v="1"/>
    <x v="6"/>
    <n v="0"/>
    <n v="0"/>
    <n v="0"/>
  </r>
  <r>
    <n v="23"/>
    <x v="1"/>
    <s v="Travel_Rarely"/>
    <n v="977"/>
    <x v="1"/>
    <n v="10"/>
    <n v="3"/>
    <s v="Technical Degree"/>
    <n v="1"/>
    <n v="1592"/>
    <x v="2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x v="1"/>
    <x v="4"/>
    <n v="2"/>
    <n v="2"/>
    <n v="2"/>
  </r>
  <r>
    <n v="36"/>
    <x v="1"/>
    <s v="Travel_Frequently"/>
    <n v="1302"/>
    <x v="1"/>
    <n v="6"/>
    <n v="4"/>
    <s v="Life Sciences"/>
    <n v="1"/>
    <n v="1594"/>
    <x v="3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x v="1"/>
    <x v="11"/>
    <n v="2"/>
    <n v="0"/>
    <n v="2"/>
  </r>
  <r>
    <n v="42"/>
    <x v="1"/>
    <s v="Travel_Rarely"/>
    <n v="1059"/>
    <x v="1"/>
    <n v="9"/>
    <n v="2"/>
    <s v="Other"/>
    <n v="1"/>
    <n v="1595"/>
    <x v="2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x v="1"/>
    <x v="6"/>
    <n v="0"/>
    <n v="0"/>
    <n v="1"/>
  </r>
  <r>
    <n v="35"/>
    <x v="1"/>
    <s v="Travel_Rarely"/>
    <n v="750"/>
    <x v="1"/>
    <n v="28"/>
    <n v="3"/>
    <s v="Life Sciences"/>
    <n v="1"/>
    <n v="1596"/>
    <x v="0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x v="2"/>
    <x v="1"/>
    <n v="9"/>
    <n v="6"/>
    <n v="8"/>
  </r>
  <r>
    <n v="34"/>
    <x v="1"/>
    <s v="Travel_Frequently"/>
    <n v="653"/>
    <x v="1"/>
    <n v="10"/>
    <n v="4"/>
    <s v="Technical Degree"/>
    <n v="1"/>
    <n v="1597"/>
    <x v="2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x v="2"/>
    <x v="3"/>
    <n v="2"/>
    <n v="7"/>
    <n v="7"/>
  </r>
  <r>
    <n v="40"/>
    <x v="1"/>
    <s v="Travel_Rarely"/>
    <n v="118"/>
    <x v="0"/>
    <n v="14"/>
    <n v="2"/>
    <s v="Life Sciences"/>
    <n v="1"/>
    <n v="1598"/>
    <x v="2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x v="1"/>
    <x v="8"/>
    <n v="4"/>
    <n v="1"/>
    <n v="2"/>
  </r>
  <r>
    <n v="43"/>
    <x v="1"/>
    <s v="Travel_Rarely"/>
    <n v="990"/>
    <x v="1"/>
    <n v="27"/>
    <n v="3"/>
    <s v="Technical Degree"/>
    <n v="1"/>
    <n v="1599"/>
    <x v="2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x v="1"/>
    <x v="0"/>
    <n v="4"/>
    <n v="0"/>
    <n v="2"/>
  </r>
  <r>
    <n v="35"/>
    <x v="1"/>
    <s v="Travel_Rarely"/>
    <n v="1349"/>
    <x v="1"/>
    <n v="7"/>
    <n v="2"/>
    <s v="Life Sciences"/>
    <n v="1"/>
    <n v="1601"/>
    <x v="1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x v="2"/>
    <x v="6"/>
    <n v="0"/>
    <n v="0"/>
    <n v="1"/>
  </r>
  <r>
    <n v="46"/>
    <x v="1"/>
    <s v="Travel_Rarely"/>
    <n v="563"/>
    <x v="0"/>
    <n v="1"/>
    <n v="4"/>
    <s v="Life Sciences"/>
    <n v="1"/>
    <n v="1602"/>
    <x v="2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x v="0"/>
    <x v="34"/>
    <n v="0"/>
    <n v="0"/>
    <n v="12"/>
  </r>
  <r>
    <n v="28"/>
    <x v="0"/>
    <s v="Travel_Rarely"/>
    <n v="329"/>
    <x v="1"/>
    <n v="24"/>
    <n v="3"/>
    <s v="Medical"/>
    <n v="1"/>
    <n v="1604"/>
    <x v="1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x v="1"/>
    <x v="6"/>
    <n v="1"/>
    <n v="0"/>
    <n v="0"/>
  </r>
  <r>
    <n v="22"/>
    <x v="1"/>
    <s v="Non-Travel"/>
    <n v="457"/>
    <x v="1"/>
    <n v="26"/>
    <n v="2"/>
    <s v="Other"/>
    <n v="1"/>
    <n v="1605"/>
    <x v="0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x v="2"/>
    <x v="9"/>
    <n v="2"/>
    <n v="1"/>
    <n v="3"/>
  </r>
  <r>
    <n v="50"/>
    <x v="1"/>
    <s v="Travel_Frequently"/>
    <n v="1234"/>
    <x v="1"/>
    <n v="20"/>
    <n v="5"/>
    <s v="Medical"/>
    <n v="1"/>
    <n v="1606"/>
    <x v="0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x v="1"/>
    <x v="35"/>
    <n v="8"/>
    <n v="12"/>
    <n v="13"/>
  </r>
  <r>
    <n v="32"/>
    <x v="1"/>
    <s v="Travel_Rarely"/>
    <n v="634"/>
    <x v="1"/>
    <n v="5"/>
    <n v="4"/>
    <s v="Other"/>
    <n v="1"/>
    <n v="1607"/>
    <x v="0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x v="1"/>
    <x v="11"/>
    <n v="2"/>
    <n v="0"/>
    <n v="2"/>
  </r>
  <r>
    <n v="44"/>
    <x v="1"/>
    <s v="Travel_Rarely"/>
    <n v="1313"/>
    <x v="1"/>
    <n v="7"/>
    <n v="3"/>
    <s v="Medical"/>
    <n v="1"/>
    <n v="1608"/>
    <x v="0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x v="2"/>
    <x v="14"/>
    <n v="7"/>
    <n v="1"/>
    <n v="10"/>
  </r>
  <r>
    <n v="30"/>
    <x v="1"/>
    <s v="Travel_Rarely"/>
    <n v="241"/>
    <x v="1"/>
    <n v="7"/>
    <n v="3"/>
    <s v="Medical"/>
    <n v="1"/>
    <n v="1609"/>
    <x v="0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x v="2"/>
    <x v="0"/>
    <n v="4"/>
    <n v="1"/>
    <n v="1"/>
  </r>
  <r>
    <n v="45"/>
    <x v="1"/>
    <s v="Travel_Rarely"/>
    <n v="1015"/>
    <x v="1"/>
    <n v="5"/>
    <n v="5"/>
    <s v="Medical"/>
    <n v="1"/>
    <n v="1611"/>
    <x v="1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x v="1"/>
    <x v="1"/>
    <n v="7"/>
    <n v="1"/>
    <n v="4"/>
  </r>
  <r>
    <n v="45"/>
    <x v="1"/>
    <s v="Non-Travel"/>
    <n v="336"/>
    <x v="0"/>
    <n v="26"/>
    <n v="3"/>
    <s v="Marketing"/>
    <n v="1"/>
    <n v="1612"/>
    <x v="3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x v="1"/>
    <x v="1"/>
    <n v="7"/>
    <n v="4"/>
    <n v="5"/>
  </r>
  <r>
    <n v="31"/>
    <x v="1"/>
    <s v="Travel_Frequently"/>
    <n v="715"/>
    <x v="0"/>
    <n v="2"/>
    <n v="4"/>
    <s v="Other"/>
    <n v="1"/>
    <n v="1613"/>
    <x v="2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x v="1"/>
    <x v="8"/>
    <n v="2"/>
    <n v="0"/>
    <n v="3"/>
  </r>
  <r>
    <n v="36"/>
    <x v="1"/>
    <s v="Travel_Rarely"/>
    <n v="559"/>
    <x v="1"/>
    <n v="12"/>
    <n v="4"/>
    <s v="Life Sciences"/>
    <n v="1"/>
    <n v="1614"/>
    <x v="1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x v="1"/>
    <x v="11"/>
    <n v="2"/>
    <n v="1"/>
    <n v="1"/>
  </r>
  <r>
    <n v="34"/>
    <x v="1"/>
    <s v="Travel_Frequently"/>
    <n v="426"/>
    <x v="1"/>
    <n v="10"/>
    <n v="4"/>
    <s v="Life Sciences"/>
    <n v="1"/>
    <n v="1615"/>
    <x v="1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x v="1"/>
    <x v="7"/>
    <n v="7"/>
    <n v="7"/>
    <n v="2"/>
  </r>
  <r>
    <n v="49"/>
    <x v="1"/>
    <s v="Travel_Rarely"/>
    <n v="722"/>
    <x v="1"/>
    <n v="25"/>
    <n v="4"/>
    <s v="Life Sciences"/>
    <n v="1"/>
    <n v="1617"/>
    <x v="1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x v="2"/>
    <x v="7"/>
    <n v="6"/>
    <n v="1"/>
    <n v="4"/>
  </r>
  <r>
    <n v="39"/>
    <x v="1"/>
    <s v="Travel_Rarely"/>
    <n v="1387"/>
    <x v="1"/>
    <n v="10"/>
    <n v="5"/>
    <s v="Medical"/>
    <n v="1"/>
    <n v="1618"/>
    <x v="0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x v="1"/>
    <x v="5"/>
    <n v="7"/>
    <n v="7"/>
    <n v="7"/>
  </r>
  <r>
    <n v="27"/>
    <x v="1"/>
    <s v="Travel_Rarely"/>
    <n v="1302"/>
    <x v="1"/>
    <n v="19"/>
    <n v="3"/>
    <s v="Other"/>
    <n v="1"/>
    <n v="1619"/>
    <x v="2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x v="1"/>
    <x v="5"/>
    <n v="7"/>
    <n v="0"/>
    <n v="7"/>
  </r>
  <r>
    <n v="35"/>
    <x v="1"/>
    <s v="Travel_Rarely"/>
    <n v="819"/>
    <x v="1"/>
    <n v="18"/>
    <n v="5"/>
    <s v="Life Sciences"/>
    <n v="1"/>
    <n v="1621"/>
    <x v="0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x v="1"/>
    <x v="22"/>
    <n v="15"/>
    <n v="1"/>
    <n v="10"/>
  </r>
  <r>
    <n v="28"/>
    <x v="1"/>
    <s v="Travel_Rarely"/>
    <n v="580"/>
    <x v="1"/>
    <n v="27"/>
    <n v="3"/>
    <s v="Medical"/>
    <n v="1"/>
    <n v="1622"/>
    <x v="0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x v="2"/>
    <x v="8"/>
    <n v="3"/>
    <n v="0"/>
    <n v="0"/>
  </r>
  <r>
    <n v="21"/>
    <x v="1"/>
    <s v="Travel_Rarely"/>
    <n v="546"/>
    <x v="1"/>
    <n v="5"/>
    <n v="1"/>
    <s v="Medical"/>
    <n v="1"/>
    <n v="1623"/>
    <x v="1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x v="1"/>
    <x v="4"/>
    <n v="2"/>
    <n v="2"/>
    <n v="2"/>
  </r>
  <r>
    <n v="18"/>
    <x v="0"/>
    <s v="Travel_Frequently"/>
    <n v="544"/>
    <x v="0"/>
    <n v="3"/>
    <n v="2"/>
    <s v="Medical"/>
    <n v="1"/>
    <n v="1624"/>
    <x v="0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x v="3"/>
    <x v="2"/>
    <n v="0"/>
    <n v="0"/>
    <n v="0"/>
  </r>
  <r>
    <n v="47"/>
    <x v="1"/>
    <s v="Travel_Rarely"/>
    <n v="1176"/>
    <x v="2"/>
    <n v="26"/>
    <n v="4"/>
    <s v="Life Sciences"/>
    <n v="1"/>
    <n v="1625"/>
    <x v="2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x v="1"/>
    <x v="8"/>
    <n v="2"/>
    <n v="1"/>
    <n v="0"/>
  </r>
  <r>
    <n v="39"/>
    <x v="1"/>
    <s v="Travel_Rarely"/>
    <n v="170"/>
    <x v="1"/>
    <n v="3"/>
    <n v="2"/>
    <s v="Medical"/>
    <n v="1"/>
    <n v="1627"/>
    <x v="1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x v="1"/>
    <x v="1"/>
    <n v="8"/>
    <n v="0"/>
    <n v="7"/>
  </r>
  <r>
    <n v="40"/>
    <x v="1"/>
    <s v="Travel_Rarely"/>
    <n v="884"/>
    <x v="1"/>
    <n v="15"/>
    <n v="3"/>
    <s v="Life Sciences"/>
    <n v="1"/>
    <n v="1628"/>
    <x v="3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x v="1"/>
    <x v="29"/>
    <n v="15"/>
    <n v="14"/>
    <n v="12"/>
  </r>
  <r>
    <n v="35"/>
    <x v="1"/>
    <s v="Non-Travel"/>
    <n v="208"/>
    <x v="1"/>
    <n v="8"/>
    <n v="4"/>
    <s v="Life Sciences"/>
    <n v="1"/>
    <n v="1630"/>
    <x v="1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x v="1"/>
    <x v="13"/>
    <n v="11"/>
    <n v="2"/>
    <n v="9"/>
  </r>
  <r>
    <n v="37"/>
    <x v="1"/>
    <s v="Travel_Rarely"/>
    <n v="671"/>
    <x v="1"/>
    <n v="19"/>
    <n v="3"/>
    <s v="Life Sciences"/>
    <n v="1"/>
    <n v="1631"/>
    <x v="1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x v="2"/>
    <x v="9"/>
    <n v="3"/>
    <n v="0"/>
    <n v="2"/>
  </r>
  <r>
    <n v="39"/>
    <x v="1"/>
    <s v="Travel_Frequently"/>
    <n v="711"/>
    <x v="1"/>
    <n v="4"/>
    <n v="3"/>
    <s v="Medical"/>
    <n v="1"/>
    <n v="1633"/>
    <x v="3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x v="0"/>
    <x v="7"/>
    <n v="2"/>
    <n v="3"/>
    <n v="8"/>
  </r>
  <r>
    <n v="45"/>
    <x v="1"/>
    <s v="Travel_Rarely"/>
    <n v="1329"/>
    <x v="1"/>
    <n v="2"/>
    <n v="2"/>
    <s v="Other"/>
    <n v="1"/>
    <n v="1635"/>
    <x v="2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x v="1"/>
    <x v="1"/>
    <n v="7"/>
    <n v="3"/>
    <n v="9"/>
  </r>
  <r>
    <n v="38"/>
    <x v="1"/>
    <s v="Travel_Rarely"/>
    <n v="397"/>
    <x v="1"/>
    <n v="2"/>
    <n v="2"/>
    <s v="Medical"/>
    <n v="1"/>
    <n v="1638"/>
    <x v="2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x v="3"/>
    <x v="8"/>
    <n v="4"/>
    <n v="0"/>
    <n v="2"/>
  </r>
  <r>
    <n v="35"/>
    <x v="0"/>
    <s v="Travel_Rarely"/>
    <n v="737"/>
    <x v="0"/>
    <n v="10"/>
    <n v="3"/>
    <s v="Medical"/>
    <n v="1"/>
    <n v="1639"/>
    <x v="2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x v="1"/>
    <x v="20"/>
    <n v="12"/>
    <n v="6"/>
    <n v="0"/>
  </r>
  <r>
    <n v="37"/>
    <x v="1"/>
    <s v="Travel_Rarely"/>
    <n v="1470"/>
    <x v="1"/>
    <n v="10"/>
    <n v="3"/>
    <s v="Medical"/>
    <n v="1"/>
    <n v="1640"/>
    <x v="0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x v="0"/>
    <x v="3"/>
    <n v="4"/>
    <n v="7"/>
    <n v="7"/>
  </r>
  <r>
    <n v="40"/>
    <x v="1"/>
    <s v="Travel_Rarely"/>
    <n v="448"/>
    <x v="1"/>
    <n v="16"/>
    <n v="3"/>
    <s v="Life Sciences"/>
    <n v="1"/>
    <n v="1641"/>
    <x v="1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x v="2"/>
    <x v="9"/>
    <n v="2"/>
    <n v="3"/>
    <n v="3"/>
  </r>
  <r>
    <n v="44"/>
    <x v="1"/>
    <s v="Travel_Frequently"/>
    <n v="602"/>
    <x v="2"/>
    <n v="1"/>
    <n v="5"/>
    <s v="Human Resources"/>
    <n v="1"/>
    <n v="1642"/>
    <x v="3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x v="1"/>
    <x v="1"/>
    <n v="7"/>
    <n v="0"/>
    <n v="2"/>
  </r>
  <r>
    <n v="48"/>
    <x v="1"/>
    <s v="Travel_Frequently"/>
    <n v="365"/>
    <x v="1"/>
    <n v="4"/>
    <n v="5"/>
    <s v="Medical"/>
    <n v="1"/>
    <n v="1644"/>
    <x v="1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x v="1"/>
    <x v="4"/>
    <n v="2"/>
    <n v="2"/>
    <n v="2"/>
  </r>
  <r>
    <n v="35"/>
    <x v="0"/>
    <s v="Travel_Rarely"/>
    <n v="763"/>
    <x v="0"/>
    <n v="15"/>
    <n v="2"/>
    <s v="Medical"/>
    <n v="1"/>
    <n v="1645"/>
    <x v="3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x v="2"/>
    <x v="4"/>
    <n v="2"/>
    <n v="2"/>
    <n v="2"/>
  </r>
  <r>
    <n v="24"/>
    <x v="1"/>
    <s v="Travel_Frequently"/>
    <n v="567"/>
    <x v="1"/>
    <n v="2"/>
    <n v="1"/>
    <s v="Technical Degree"/>
    <n v="1"/>
    <n v="1646"/>
    <x v="3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x v="1"/>
    <x v="0"/>
    <n v="3"/>
    <n v="1"/>
    <n v="3"/>
  </r>
  <r>
    <n v="27"/>
    <x v="1"/>
    <s v="Travel_Rarely"/>
    <n v="486"/>
    <x v="1"/>
    <n v="8"/>
    <n v="3"/>
    <s v="Medical"/>
    <n v="1"/>
    <n v="1647"/>
    <x v="0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x v="1"/>
    <x v="11"/>
    <n v="2"/>
    <n v="0"/>
    <n v="2"/>
  </r>
  <r>
    <n v="27"/>
    <x v="1"/>
    <s v="Travel_Frequently"/>
    <n v="591"/>
    <x v="1"/>
    <n v="2"/>
    <n v="3"/>
    <s v="Medical"/>
    <n v="1"/>
    <n v="1648"/>
    <x v="2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x v="2"/>
    <x v="9"/>
    <n v="2"/>
    <n v="1"/>
    <n v="2"/>
  </r>
  <r>
    <n v="40"/>
    <x v="0"/>
    <s v="Travel_Rarely"/>
    <n v="1329"/>
    <x v="1"/>
    <n v="7"/>
    <n v="3"/>
    <s v="Life Sciences"/>
    <n v="1"/>
    <n v="1649"/>
    <x v="3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x v="0"/>
    <x v="9"/>
    <n v="2"/>
    <n v="0"/>
    <n v="3"/>
  </r>
  <r>
    <n v="29"/>
    <x v="1"/>
    <s v="Travel_Rarely"/>
    <n v="469"/>
    <x v="0"/>
    <n v="10"/>
    <n v="3"/>
    <s v="Medical"/>
    <n v="1"/>
    <n v="1650"/>
    <x v="1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x v="1"/>
    <x v="8"/>
    <n v="2"/>
    <n v="1"/>
    <n v="4"/>
  </r>
  <r>
    <n v="36"/>
    <x v="1"/>
    <s v="Travel_Rarely"/>
    <n v="711"/>
    <x v="1"/>
    <n v="5"/>
    <n v="4"/>
    <s v="Life Sciences"/>
    <n v="1"/>
    <n v="1651"/>
    <x v="0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x v="1"/>
    <x v="11"/>
    <n v="2"/>
    <n v="0"/>
    <n v="2"/>
  </r>
  <r>
    <n v="25"/>
    <x v="1"/>
    <s v="Travel_Frequently"/>
    <n v="772"/>
    <x v="1"/>
    <n v="2"/>
    <n v="1"/>
    <s v="Life Sciences"/>
    <n v="1"/>
    <n v="1653"/>
    <x v="2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x v="1"/>
    <x v="5"/>
    <n v="7"/>
    <n v="0"/>
    <n v="7"/>
  </r>
  <r>
    <n v="39"/>
    <x v="1"/>
    <s v="Travel_Rarely"/>
    <n v="492"/>
    <x v="1"/>
    <n v="12"/>
    <n v="3"/>
    <s v="Medical"/>
    <n v="1"/>
    <n v="1654"/>
    <x v="2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x v="1"/>
    <x v="8"/>
    <n v="4"/>
    <n v="1"/>
    <n v="0"/>
  </r>
  <r>
    <n v="49"/>
    <x v="1"/>
    <s v="Travel_Rarely"/>
    <n v="301"/>
    <x v="1"/>
    <n v="22"/>
    <n v="4"/>
    <s v="Other"/>
    <n v="1"/>
    <n v="1655"/>
    <x v="3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x v="1"/>
    <x v="9"/>
    <n v="2"/>
    <n v="1"/>
    <n v="2"/>
  </r>
  <r>
    <n v="50"/>
    <x v="1"/>
    <s v="Travel_Rarely"/>
    <n v="813"/>
    <x v="1"/>
    <n v="17"/>
    <n v="5"/>
    <s v="Life Sciences"/>
    <n v="1"/>
    <n v="1656"/>
    <x v="2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x v="1"/>
    <x v="13"/>
    <n v="11"/>
    <n v="1"/>
    <n v="11"/>
  </r>
  <r>
    <n v="20"/>
    <x v="1"/>
    <s v="Travel_Rarely"/>
    <n v="1141"/>
    <x v="0"/>
    <n v="2"/>
    <n v="3"/>
    <s v="Medical"/>
    <n v="1"/>
    <n v="1657"/>
    <x v="1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x v="1"/>
    <x v="4"/>
    <n v="2"/>
    <n v="2"/>
    <n v="2"/>
  </r>
  <r>
    <n v="34"/>
    <x v="1"/>
    <s v="Travel_Rarely"/>
    <n v="1130"/>
    <x v="1"/>
    <n v="3"/>
    <n v="3"/>
    <s v="Life Sciences"/>
    <n v="1"/>
    <n v="1658"/>
    <x v="2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x v="1"/>
    <x v="19"/>
    <n v="8"/>
    <n v="7"/>
    <n v="9"/>
  </r>
  <r>
    <n v="36"/>
    <x v="1"/>
    <s v="Travel_Rarely"/>
    <n v="311"/>
    <x v="1"/>
    <n v="7"/>
    <n v="3"/>
    <s v="Life Sciences"/>
    <n v="1"/>
    <n v="1659"/>
    <x v="3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x v="1"/>
    <x v="9"/>
    <n v="3"/>
    <n v="1"/>
    <n v="3"/>
  </r>
  <r>
    <n v="49"/>
    <x v="1"/>
    <s v="Travel_Rarely"/>
    <n v="465"/>
    <x v="1"/>
    <n v="6"/>
    <n v="1"/>
    <s v="Life Sciences"/>
    <n v="1"/>
    <n v="1661"/>
    <x v="1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x v="1"/>
    <x v="15"/>
    <n v="11"/>
    <n v="2"/>
    <n v="12"/>
  </r>
  <r>
    <n v="36"/>
    <x v="1"/>
    <s v="Non-Travel"/>
    <n v="894"/>
    <x v="1"/>
    <n v="1"/>
    <n v="4"/>
    <s v="Medical"/>
    <n v="1"/>
    <n v="1662"/>
    <x v="2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x v="1"/>
    <x v="11"/>
    <n v="2"/>
    <n v="1"/>
    <n v="2"/>
  </r>
  <r>
    <n v="36"/>
    <x v="1"/>
    <s v="Travel_Rarely"/>
    <n v="1040"/>
    <x v="1"/>
    <n v="3"/>
    <n v="2"/>
    <s v="Life Sciences"/>
    <n v="1"/>
    <n v="1664"/>
    <x v="2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x v="1"/>
    <x v="8"/>
    <n v="4"/>
    <n v="0"/>
    <n v="4"/>
  </r>
  <r>
    <n v="54"/>
    <x v="1"/>
    <s v="Travel_Rarely"/>
    <n v="584"/>
    <x v="1"/>
    <n v="22"/>
    <n v="5"/>
    <s v="Medical"/>
    <n v="1"/>
    <n v="1665"/>
    <x v="0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x v="1"/>
    <x v="1"/>
    <n v="8"/>
    <n v="4"/>
    <n v="7"/>
  </r>
  <r>
    <n v="43"/>
    <x v="1"/>
    <s v="Travel_Rarely"/>
    <n v="1291"/>
    <x v="1"/>
    <n v="15"/>
    <n v="2"/>
    <s v="Life Sciences"/>
    <n v="1"/>
    <n v="1666"/>
    <x v="1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x v="1"/>
    <x v="13"/>
    <n v="10"/>
    <n v="6"/>
    <n v="11"/>
  </r>
  <r>
    <n v="35"/>
    <x v="0"/>
    <s v="Travel_Frequently"/>
    <n v="880"/>
    <x v="0"/>
    <n v="12"/>
    <n v="4"/>
    <s v="Other"/>
    <n v="1"/>
    <n v="1667"/>
    <x v="2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x v="3"/>
    <x v="19"/>
    <n v="9"/>
    <n v="6"/>
    <n v="7"/>
  </r>
  <r>
    <n v="38"/>
    <x v="1"/>
    <s v="Travel_Frequently"/>
    <n v="1189"/>
    <x v="1"/>
    <n v="1"/>
    <n v="3"/>
    <s v="Life Sciences"/>
    <n v="1"/>
    <n v="1668"/>
    <x v="2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x v="3"/>
    <x v="20"/>
    <n v="11"/>
    <n v="2"/>
    <n v="9"/>
  </r>
  <r>
    <n v="29"/>
    <x v="1"/>
    <s v="Travel_Rarely"/>
    <n v="991"/>
    <x v="0"/>
    <n v="5"/>
    <n v="3"/>
    <s v="Medical"/>
    <n v="1"/>
    <n v="1669"/>
    <x v="3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x v="2"/>
    <x v="1"/>
    <n v="0"/>
    <n v="0"/>
    <n v="9"/>
  </r>
  <r>
    <n v="33"/>
    <x v="1"/>
    <s v="Travel_Rarely"/>
    <n v="392"/>
    <x v="0"/>
    <n v="2"/>
    <n v="4"/>
    <s v="Medical"/>
    <n v="1"/>
    <n v="1670"/>
    <x v="2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x v="1"/>
    <x v="0"/>
    <n v="2"/>
    <n v="0"/>
    <n v="4"/>
  </r>
  <r>
    <n v="32"/>
    <x v="1"/>
    <s v="Travel_Rarely"/>
    <n v="977"/>
    <x v="1"/>
    <n v="2"/>
    <n v="3"/>
    <s v="Medical"/>
    <n v="1"/>
    <n v="1671"/>
    <x v="2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x v="2"/>
    <x v="7"/>
    <n v="5"/>
    <n v="1"/>
    <n v="6"/>
  </r>
  <r>
    <n v="31"/>
    <x v="1"/>
    <s v="Travel_Rarely"/>
    <n v="1112"/>
    <x v="0"/>
    <n v="5"/>
    <n v="4"/>
    <s v="Life Sciences"/>
    <n v="1"/>
    <n v="1673"/>
    <x v="3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x v="1"/>
    <x v="1"/>
    <n v="0"/>
    <n v="0"/>
    <n v="2"/>
  </r>
  <r>
    <n v="49"/>
    <x v="1"/>
    <s v="Travel_Rarely"/>
    <n v="464"/>
    <x v="1"/>
    <n v="16"/>
    <n v="3"/>
    <s v="Medical"/>
    <n v="1"/>
    <n v="1674"/>
    <x v="2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x v="2"/>
    <x v="4"/>
    <n v="2"/>
    <n v="2"/>
    <n v="2"/>
  </r>
  <r>
    <n v="38"/>
    <x v="1"/>
    <s v="Travel_Frequently"/>
    <n v="148"/>
    <x v="1"/>
    <n v="2"/>
    <n v="3"/>
    <s v="Medical"/>
    <n v="1"/>
    <n v="1675"/>
    <x v="2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x v="1"/>
    <x v="9"/>
    <n v="3"/>
    <n v="3"/>
    <n v="3"/>
  </r>
  <r>
    <n v="47"/>
    <x v="1"/>
    <s v="Travel_Rarely"/>
    <n v="1225"/>
    <x v="0"/>
    <n v="2"/>
    <n v="4"/>
    <s v="Life Sciences"/>
    <n v="1"/>
    <n v="1676"/>
    <x v="0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x v="1"/>
    <x v="11"/>
    <n v="2"/>
    <n v="1"/>
    <n v="2"/>
  </r>
  <r>
    <n v="49"/>
    <x v="1"/>
    <s v="Travel_Rarely"/>
    <n v="809"/>
    <x v="1"/>
    <n v="1"/>
    <n v="3"/>
    <s v="Life Sciences"/>
    <n v="1"/>
    <n v="1677"/>
    <x v="1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x v="1"/>
    <x v="3"/>
    <n v="7"/>
    <n v="0"/>
    <n v="0"/>
  </r>
  <r>
    <n v="41"/>
    <x v="1"/>
    <s v="Travel_Rarely"/>
    <n v="1206"/>
    <x v="0"/>
    <n v="23"/>
    <n v="2"/>
    <s v="Life Sciences"/>
    <n v="1"/>
    <n v="1678"/>
    <x v="2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x v="1"/>
    <x v="4"/>
    <n v="0"/>
    <n v="0"/>
    <n v="2"/>
  </r>
  <r>
    <n v="20"/>
    <x v="1"/>
    <s v="Travel_Rarely"/>
    <n v="727"/>
    <x v="0"/>
    <n v="9"/>
    <n v="1"/>
    <s v="Life Sciences"/>
    <n v="1"/>
    <n v="1680"/>
    <x v="2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x v="1"/>
    <x v="4"/>
    <n v="2"/>
    <n v="0"/>
    <n v="2"/>
  </r>
  <r>
    <n v="33"/>
    <x v="1"/>
    <s v="Non-Travel"/>
    <n v="530"/>
    <x v="0"/>
    <n v="16"/>
    <n v="3"/>
    <s v="Life Sciences"/>
    <n v="1"/>
    <n v="1681"/>
    <x v="1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x v="1"/>
    <x v="0"/>
    <n v="5"/>
    <n v="1"/>
    <n v="2"/>
  </r>
  <r>
    <n v="36"/>
    <x v="1"/>
    <s v="Travel_Rarely"/>
    <n v="1351"/>
    <x v="1"/>
    <n v="26"/>
    <n v="4"/>
    <s v="Life Sciences"/>
    <n v="1"/>
    <n v="1682"/>
    <x v="3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x v="2"/>
    <x v="11"/>
    <n v="2"/>
    <n v="0"/>
    <n v="2"/>
  </r>
  <r>
    <n v="44"/>
    <x v="1"/>
    <s v="Travel_Rarely"/>
    <n v="528"/>
    <x v="2"/>
    <n v="1"/>
    <n v="3"/>
    <s v="Life Sciences"/>
    <n v="1"/>
    <n v="1683"/>
    <x v="1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x v="1"/>
    <x v="4"/>
    <n v="2"/>
    <n v="2"/>
    <n v="2"/>
  </r>
  <r>
    <n v="23"/>
    <x v="0"/>
    <s v="Travel_Rarely"/>
    <n v="1320"/>
    <x v="1"/>
    <n v="8"/>
    <n v="1"/>
    <s v="Medical"/>
    <n v="1"/>
    <n v="1684"/>
    <x v="2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x v="1"/>
    <x v="8"/>
    <n v="4"/>
    <n v="1"/>
    <n v="2"/>
  </r>
  <r>
    <n v="38"/>
    <x v="1"/>
    <s v="Travel_Rarely"/>
    <n v="1495"/>
    <x v="1"/>
    <n v="4"/>
    <n v="2"/>
    <s v="Medical"/>
    <n v="1"/>
    <n v="1687"/>
    <x v="2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x v="2"/>
    <x v="2"/>
    <n v="0"/>
    <n v="0"/>
    <n v="0"/>
  </r>
  <r>
    <n v="53"/>
    <x v="1"/>
    <s v="Travel_Rarely"/>
    <n v="1395"/>
    <x v="1"/>
    <n v="24"/>
    <n v="4"/>
    <s v="Medical"/>
    <n v="1"/>
    <n v="1689"/>
    <x v="0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x v="1"/>
    <x v="9"/>
    <n v="3"/>
    <n v="1"/>
    <n v="2"/>
  </r>
  <r>
    <n v="48"/>
    <x v="0"/>
    <s v="Travel_Frequently"/>
    <n v="708"/>
    <x v="0"/>
    <n v="7"/>
    <n v="2"/>
    <s v="Medical"/>
    <n v="1"/>
    <n v="1691"/>
    <x v="2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x v="1"/>
    <x v="7"/>
    <n v="7"/>
    <n v="7"/>
    <n v="7"/>
  </r>
  <r>
    <n v="32"/>
    <x v="0"/>
    <s v="Travel_Rarely"/>
    <n v="1259"/>
    <x v="1"/>
    <n v="2"/>
    <n v="4"/>
    <s v="Life Sciences"/>
    <n v="1"/>
    <n v="1692"/>
    <x v="2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x v="1"/>
    <x v="6"/>
    <n v="0"/>
    <n v="0"/>
    <n v="0"/>
  </r>
  <r>
    <n v="26"/>
    <x v="1"/>
    <s v="Non-Travel"/>
    <n v="786"/>
    <x v="1"/>
    <n v="7"/>
    <n v="3"/>
    <s v="Medical"/>
    <n v="1"/>
    <n v="1693"/>
    <x v="2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x v="1"/>
    <x v="5"/>
    <n v="7"/>
    <n v="5"/>
    <n v="7"/>
  </r>
  <r>
    <n v="55"/>
    <x v="1"/>
    <s v="Travel_Rarely"/>
    <n v="1441"/>
    <x v="1"/>
    <n v="22"/>
    <n v="3"/>
    <s v="Technical Degree"/>
    <n v="1"/>
    <n v="1694"/>
    <x v="3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x v="1"/>
    <x v="9"/>
    <n v="2"/>
    <n v="1"/>
    <n v="2"/>
  </r>
  <r>
    <n v="34"/>
    <x v="1"/>
    <s v="Travel_Rarely"/>
    <n v="1157"/>
    <x v="1"/>
    <n v="5"/>
    <n v="2"/>
    <s v="Medical"/>
    <n v="1"/>
    <n v="1696"/>
    <x v="0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x v="3"/>
    <x v="15"/>
    <n v="10"/>
    <n v="4"/>
    <n v="13"/>
  </r>
  <r>
    <n v="60"/>
    <x v="1"/>
    <s v="Travel_Rarely"/>
    <n v="370"/>
    <x v="1"/>
    <n v="1"/>
    <n v="4"/>
    <s v="Medical"/>
    <n v="1"/>
    <n v="1697"/>
    <x v="1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x v="3"/>
    <x v="6"/>
    <n v="0"/>
    <n v="0"/>
    <n v="0"/>
  </r>
  <r>
    <n v="33"/>
    <x v="1"/>
    <s v="Travel_Rarely"/>
    <n v="267"/>
    <x v="1"/>
    <n v="21"/>
    <n v="3"/>
    <s v="Medical"/>
    <n v="1"/>
    <n v="1698"/>
    <x v="0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x v="1"/>
    <x v="13"/>
    <n v="11"/>
    <n v="2"/>
    <n v="13"/>
  </r>
  <r>
    <n v="37"/>
    <x v="1"/>
    <s v="Travel_Frequently"/>
    <n v="1278"/>
    <x v="0"/>
    <n v="1"/>
    <n v="4"/>
    <s v="Medical"/>
    <n v="1"/>
    <n v="1700"/>
    <x v="1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x v="2"/>
    <x v="0"/>
    <n v="3"/>
    <n v="1"/>
    <n v="3"/>
  </r>
  <r>
    <n v="34"/>
    <x v="1"/>
    <s v="Travel_Rarely"/>
    <n v="678"/>
    <x v="1"/>
    <n v="19"/>
    <n v="3"/>
    <s v="Life Sciences"/>
    <n v="1"/>
    <n v="1701"/>
    <x v="0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x v="1"/>
    <x v="1"/>
    <n v="9"/>
    <n v="8"/>
    <n v="7"/>
  </r>
  <r>
    <n v="23"/>
    <x v="0"/>
    <s v="Travel_Rarely"/>
    <n v="427"/>
    <x v="0"/>
    <n v="7"/>
    <n v="3"/>
    <s v="Life Sciences"/>
    <n v="1"/>
    <n v="1702"/>
    <x v="1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x v="1"/>
    <x v="11"/>
    <n v="2"/>
    <n v="0"/>
    <n v="2"/>
  </r>
  <r>
    <n v="44"/>
    <x v="1"/>
    <s v="Travel_Rarely"/>
    <n v="921"/>
    <x v="1"/>
    <n v="2"/>
    <n v="3"/>
    <s v="Life Sciences"/>
    <n v="1"/>
    <n v="1703"/>
    <x v="1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x v="1"/>
    <x v="3"/>
    <n v="7"/>
    <n v="6"/>
    <n v="7"/>
  </r>
  <r>
    <n v="35"/>
    <x v="1"/>
    <s v="Travel_Frequently"/>
    <n v="146"/>
    <x v="1"/>
    <n v="2"/>
    <n v="4"/>
    <s v="Medical"/>
    <n v="1"/>
    <n v="1704"/>
    <x v="3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x v="3"/>
    <x v="8"/>
    <n v="4"/>
    <n v="1"/>
    <n v="4"/>
  </r>
  <r>
    <n v="43"/>
    <x v="1"/>
    <s v="Travel_Rarely"/>
    <n v="1179"/>
    <x v="0"/>
    <n v="2"/>
    <n v="3"/>
    <s v="Medical"/>
    <n v="1"/>
    <n v="1706"/>
    <x v="2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x v="1"/>
    <x v="1"/>
    <n v="9"/>
    <n v="8"/>
    <n v="8"/>
  </r>
  <r>
    <n v="24"/>
    <x v="1"/>
    <s v="Travel_Rarely"/>
    <n v="581"/>
    <x v="1"/>
    <n v="9"/>
    <n v="3"/>
    <s v="Medical"/>
    <n v="1"/>
    <n v="1707"/>
    <x v="1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x v="1"/>
    <x v="8"/>
    <n v="3"/>
    <n v="0"/>
    <n v="4"/>
  </r>
  <r>
    <n v="41"/>
    <x v="1"/>
    <s v="Travel_Rarely"/>
    <n v="918"/>
    <x v="0"/>
    <n v="6"/>
    <n v="3"/>
    <s v="Marketing"/>
    <n v="1"/>
    <n v="1708"/>
    <x v="2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x v="1"/>
    <x v="1"/>
    <n v="8"/>
    <n v="8"/>
    <n v="7"/>
  </r>
  <r>
    <n v="29"/>
    <x v="1"/>
    <s v="Travel_Rarely"/>
    <n v="1082"/>
    <x v="1"/>
    <n v="9"/>
    <n v="4"/>
    <s v="Medical"/>
    <n v="1"/>
    <n v="1709"/>
    <x v="2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x v="1"/>
    <x v="8"/>
    <n v="3"/>
    <n v="1"/>
    <n v="2"/>
  </r>
  <r>
    <n v="36"/>
    <x v="1"/>
    <s v="Travel_Rarely"/>
    <n v="530"/>
    <x v="0"/>
    <n v="2"/>
    <n v="4"/>
    <s v="Life Sciences"/>
    <n v="1"/>
    <n v="1710"/>
    <x v="1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x v="2"/>
    <x v="20"/>
    <n v="7"/>
    <n v="6"/>
    <n v="7"/>
  </r>
  <r>
    <n v="45"/>
    <x v="1"/>
    <s v="Non-Travel"/>
    <n v="1238"/>
    <x v="1"/>
    <n v="1"/>
    <n v="1"/>
    <s v="Life Sciences"/>
    <n v="1"/>
    <n v="1712"/>
    <x v="1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x v="2"/>
    <x v="36"/>
    <n v="15"/>
    <n v="14"/>
    <n v="4"/>
  </r>
  <r>
    <n v="24"/>
    <x v="0"/>
    <s v="Travel_Rarely"/>
    <n v="240"/>
    <x v="2"/>
    <n v="22"/>
    <n v="1"/>
    <s v="Human Resources"/>
    <n v="1"/>
    <n v="1714"/>
    <x v="2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x v="1"/>
    <x v="6"/>
    <n v="0"/>
    <n v="0"/>
    <n v="0"/>
  </r>
  <r>
    <n v="47"/>
    <x v="0"/>
    <s v="Travel_Frequently"/>
    <n v="1093"/>
    <x v="0"/>
    <n v="9"/>
    <n v="3"/>
    <s v="Life Sciences"/>
    <n v="1"/>
    <n v="1716"/>
    <x v="1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x v="0"/>
    <x v="36"/>
    <n v="5"/>
    <n v="14"/>
    <n v="10"/>
  </r>
  <r>
    <n v="26"/>
    <x v="1"/>
    <s v="Travel_Rarely"/>
    <n v="390"/>
    <x v="1"/>
    <n v="17"/>
    <n v="4"/>
    <s v="Medical"/>
    <n v="1"/>
    <n v="1718"/>
    <x v="2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x v="3"/>
    <x v="11"/>
    <n v="2"/>
    <n v="0"/>
    <n v="2"/>
  </r>
  <r>
    <n v="45"/>
    <x v="1"/>
    <s v="Travel_Rarely"/>
    <n v="1005"/>
    <x v="1"/>
    <n v="28"/>
    <n v="2"/>
    <s v="Technical Degree"/>
    <n v="1"/>
    <n v="1719"/>
    <x v="2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x v="1"/>
    <x v="17"/>
    <n v="6"/>
    <n v="8"/>
    <n v="6"/>
  </r>
  <r>
    <n v="32"/>
    <x v="1"/>
    <s v="Travel_Frequently"/>
    <n v="585"/>
    <x v="1"/>
    <n v="10"/>
    <n v="3"/>
    <s v="Life Sciences"/>
    <n v="1"/>
    <n v="1720"/>
    <x v="3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x v="2"/>
    <x v="8"/>
    <n v="2"/>
    <n v="1"/>
    <n v="3"/>
  </r>
  <r>
    <n v="31"/>
    <x v="1"/>
    <s v="Travel_Rarely"/>
    <n v="741"/>
    <x v="1"/>
    <n v="2"/>
    <n v="4"/>
    <s v="Life Sciences"/>
    <n v="1"/>
    <n v="1721"/>
    <x v="0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x v="3"/>
    <x v="8"/>
    <n v="2"/>
    <n v="0"/>
    <n v="3"/>
  </r>
  <r>
    <n v="41"/>
    <x v="1"/>
    <s v="Non-Travel"/>
    <n v="552"/>
    <x v="2"/>
    <n v="4"/>
    <n v="3"/>
    <s v="Human Resources"/>
    <n v="1"/>
    <n v="1722"/>
    <x v="1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x v="1"/>
    <x v="11"/>
    <n v="2"/>
    <n v="1"/>
    <n v="2"/>
  </r>
  <r>
    <n v="40"/>
    <x v="1"/>
    <s v="Travel_Rarely"/>
    <n v="369"/>
    <x v="1"/>
    <n v="8"/>
    <n v="2"/>
    <s v="Life Sciences"/>
    <n v="1"/>
    <n v="1724"/>
    <x v="0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x v="1"/>
    <x v="6"/>
    <n v="0"/>
    <n v="0"/>
    <n v="0"/>
  </r>
  <r>
    <n v="24"/>
    <x v="1"/>
    <s v="Travel_Rarely"/>
    <n v="506"/>
    <x v="1"/>
    <n v="29"/>
    <n v="1"/>
    <s v="Medical"/>
    <n v="1"/>
    <n v="1725"/>
    <x v="0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x v="3"/>
    <x v="0"/>
    <n v="2"/>
    <n v="1"/>
    <n v="2"/>
  </r>
  <r>
    <n v="46"/>
    <x v="1"/>
    <s v="Travel_Rarely"/>
    <n v="717"/>
    <x v="1"/>
    <n v="13"/>
    <n v="4"/>
    <s v="Life Sciences"/>
    <n v="1"/>
    <n v="1727"/>
    <x v="1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x v="1"/>
    <x v="1"/>
    <n v="7"/>
    <n v="0"/>
    <n v="9"/>
  </r>
  <r>
    <n v="35"/>
    <x v="1"/>
    <s v="Travel_Rarely"/>
    <n v="1370"/>
    <x v="1"/>
    <n v="27"/>
    <n v="4"/>
    <s v="Life Sciences"/>
    <n v="1"/>
    <n v="1728"/>
    <x v="2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x v="1"/>
    <x v="5"/>
    <n v="7"/>
    <n v="0"/>
    <n v="7"/>
  </r>
  <r>
    <n v="30"/>
    <x v="1"/>
    <s v="Travel_Rarely"/>
    <n v="793"/>
    <x v="1"/>
    <n v="16"/>
    <n v="1"/>
    <s v="Life Sciences"/>
    <n v="1"/>
    <n v="1729"/>
    <x v="0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x v="2"/>
    <x v="1"/>
    <n v="0"/>
    <n v="0"/>
    <n v="8"/>
  </r>
  <r>
    <n v="47"/>
    <x v="1"/>
    <s v="Non-Travel"/>
    <n v="543"/>
    <x v="0"/>
    <n v="2"/>
    <n v="4"/>
    <s v="Marketing"/>
    <n v="1"/>
    <n v="1731"/>
    <x v="1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x v="0"/>
    <x v="6"/>
    <n v="0"/>
    <n v="0"/>
    <n v="0"/>
  </r>
  <r>
    <n v="46"/>
    <x v="1"/>
    <s v="Travel_Rarely"/>
    <n v="1277"/>
    <x v="0"/>
    <n v="2"/>
    <n v="3"/>
    <s v="Life Sciences"/>
    <n v="1"/>
    <n v="1732"/>
    <x v="1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x v="2"/>
    <x v="1"/>
    <n v="6"/>
    <n v="0"/>
    <n v="3"/>
  </r>
  <r>
    <n v="36"/>
    <x v="0"/>
    <s v="Travel_Rarely"/>
    <n v="1456"/>
    <x v="0"/>
    <n v="13"/>
    <n v="5"/>
    <s v="Marketing"/>
    <n v="1"/>
    <n v="1733"/>
    <x v="0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x v="1"/>
    <x v="4"/>
    <n v="2"/>
    <n v="2"/>
    <n v="2"/>
  </r>
  <r>
    <n v="32"/>
    <x v="0"/>
    <s v="Travel_Rarely"/>
    <n v="964"/>
    <x v="0"/>
    <n v="1"/>
    <n v="2"/>
    <s v="Life Sciences"/>
    <n v="1"/>
    <n v="1734"/>
    <x v="3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x v="1"/>
    <x v="2"/>
    <n v="0"/>
    <n v="0"/>
    <n v="0"/>
  </r>
  <r>
    <n v="23"/>
    <x v="1"/>
    <s v="Travel_Rarely"/>
    <n v="160"/>
    <x v="1"/>
    <n v="4"/>
    <n v="1"/>
    <s v="Medical"/>
    <n v="1"/>
    <n v="1735"/>
    <x v="1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x v="0"/>
    <x v="11"/>
    <n v="2"/>
    <n v="1"/>
    <n v="2"/>
  </r>
  <r>
    <n v="31"/>
    <x v="1"/>
    <s v="Travel_Frequently"/>
    <n v="163"/>
    <x v="1"/>
    <n v="24"/>
    <n v="1"/>
    <s v="Technical Degree"/>
    <n v="1"/>
    <n v="1736"/>
    <x v="2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x v="2"/>
    <x v="8"/>
    <n v="4"/>
    <n v="1"/>
    <n v="4"/>
  </r>
  <r>
    <n v="39"/>
    <x v="1"/>
    <s v="Non-Travel"/>
    <n v="792"/>
    <x v="1"/>
    <n v="1"/>
    <n v="3"/>
    <s v="Life Sciences"/>
    <n v="1"/>
    <n v="1737"/>
    <x v="2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x v="1"/>
    <x v="7"/>
    <n v="8"/>
    <n v="5"/>
    <n v="8"/>
  </r>
  <r>
    <n v="32"/>
    <x v="1"/>
    <s v="Travel_Rarely"/>
    <n v="371"/>
    <x v="0"/>
    <n v="19"/>
    <n v="3"/>
    <s v="Life Sciences"/>
    <n v="1"/>
    <n v="1739"/>
    <x v="2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x v="0"/>
    <x v="9"/>
    <n v="3"/>
    <n v="0"/>
    <n v="2"/>
  </r>
  <r>
    <n v="40"/>
    <x v="1"/>
    <s v="Travel_Rarely"/>
    <n v="611"/>
    <x v="0"/>
    <n v="7"/>
    <n v="4"/>
    <s v="Medical"/>
    <n v="1"/>
    <n v="1740"/>
    <x v="0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x v="2"/>
    <x v="17"/>
    <n v="8"/>
    <n v="12"/>
    <n v="8"/>
  </r>
  <r>
    <n v="45"/>
    <x v="1"/>
    <s v="Travel_Rarely"/>
    <n v="176"/>
    <x v="2"/>
    <n v="4"/>
    <n v="3"/>
    <s v="Life Sciences"/>
    <n v="1"/>
    <n v="1744"/>
    <x v="1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x v="3"/>
    <x v="8"/>
    <n v="0"/>
    <n v="0"/>
    <n v="3"/>
  </r>
  <r>
    <n v="30"/>
    <x v="1"/>
    <s v="Travel_Frequently"/>
    <n v="1312"/>
    <x v="1"/>
    <n v="2"/>
    <n v="4"/>
    <s v="Technical Degree"/>
    <n v="1"/>
    <n v="1745"/>
    <x v="2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x v="1"/>
    <x v="7"/>
    <n v="7"/>
    <n v="0"/>
    <n v="7"/>
  </r>
  <r>
    <n v="24"/>
    <x v="1"/>
    <s v="Travel_Frequently"/>
    <n v="897"/>
    <x v="2"/>
    <n v="10"/>
    <n v="3"/>
    <s v="Medical"/>
    <n v="1"/>
    <n v="1746"/>
    <x v="3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x v="1"/>
    <x v="4"/>
    <n v="2"/>
    <n v="2"/>
    <n v="1"/>
  </r>
  <r>
    <n v="30"/>
    <x v="0"/>
    <s v="Travel_Frequently"/>
    <n v="600"/>
    <x v="2"/>
    <n v="8"/>
    <n v="3"/>
    <s v="Human Resources"/>
    <n v="1"/>
    <n v="1747"/>
    <x v="1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x v="2"/>
    <x v="9"/>
    <n v="2"/>
    <n v="1"/>
    <n v="2"/>
  </r>
  <r>
    <n v="31"/>
    <x v="1"/>
    <s v="Travel_Rarely"/>
    <n v="1003"/>
    <x v="0"/>
    <n v="5"/>
    <n v="3"/>
    <s v="Technical Degree"/>
    <n v="1"/>
    <n v="1749"/>
    <x v="3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x v="1"/>
    <x v="8"/>
    <n v="2"/>
    <n v="0"/>
    <n v="2"/>
  </r>
  <r>
    <n v="27"/>
    <x v="1"/>
    <s v="Travel_Rarely"/>
    <n v="1054"/>
    <x v="1"/>
    <n v="8"/>
    <n v="3"/>
    <s v="Medical"/>
    <n v="1"/>
    <n v="1751"/>
    <x v="1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x v="2"/>
    <x v="0"/>
    <n v="2"/>
    <n v="1"/>
    <n v="4"/>
  </r>
  <r>
    <n v="29"/>
    <x v="0"/>
    <s v="Travel_Rarely"/>
    <n v="428"/>
    <x v="0"/>
    <n v="9"/>
    <n v="3"/>
    <s v="Marketing"/>
    <n v="1"/>
    <n v="1752"/>
    <x v="0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x v="1"/>
    <x v="4"/>
    <n v="2"/>
    <n v="2"/>
    <n v="2"/>
  </r>
  <r>
    <n v="29"/>
    <x v="1"/>
    <s v="Travel_Frequently"/>
    <n v="461"/>
    <x v="1"/>
    <n v="1"/>
    <n v="3"/>
    <s v="Life Sciences"/>
    <n v="1"/>
    <n v="1753"/>
    <x v="2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x v="3"/>
    <x v="11"/>
    <n v="2"/>
    <n v="0"/>
    <n v="2"/>
  </r>
  <r>
    <n v="30"/>
    <x v="1"/>
    <s v="Travel_Rarely"/>
    <n v="979"/>
    <x v="0"/>
    <n v="15"/>
    <n v="2"/>
    <s v="Marketing"/>
    <n v="1"/>
    <n v="1754"/>
    <x v="1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x v="1"/>
    <x v="5"/>
    <n v="7"/>
    <n v="1"/>
    <n v="7"/>
  </r>
  <r>
    <n v="34"/>
    <x v="1"/>
    <s v="Travel_Rarely"/>
    <n v="181"/>
    <x v="1"/>
    <n v="2"/>
    <n v="4"/>
    <s v="Medical"/>
    <n v="1"/>
    <n v="1755"/>
    <x v="2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x v="1"/>
    <x v="8"/>
    <n v="0"/>
    <n v="1"/>
    <n v="2"/>
  </r>
  <r>
    <n v="33"/>
    <x v="1"/>
    <s v="Non-Travel"/>
    <n v="1283"/>
    <x v="0"/>
    <n v="2"/>
    <n v="3"/>
    <s v="Marketing"/>
    <n v="1"/>
    <n v="1756"/>
    <x v="2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x v="2"/>
    <x v="19"/>
    <n v="7"/>
    <n v="1"/>
    <n v="7"/>
  </r>
  <r>
    <n v="49"/>
    <x v="1"/>
    <s v="Travel_Rarely"/>
    <n v="1313"/>
    <x v="0"/>
    <n v="11"/>
    <n v="4"/>
    <s v="Marketing"/>
    <n v="1"/>
    <n v="1757"/>
    <x v="2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x v="3"/>
    <x v="8"/>
    <n v="1"/>
    <n v="0"/>
    <n v="4"/>
  </r>
  <r>
    <n v="33"/>
    <x v="0"/>
    <s v="Travel_Rarely"/>
    <n v="211"/>
    <x v="0"/>
    <n v="16"/>
    <n v="3"/>
    <s v="Life Sciences"/>
    <n v="1"/>
    <n v="1758"/>
    <x v="3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x v="2"/>
    <x v="2"/>
    <n v="0"/>
    <n v="0"/>
    <n v="0"/>
  </r>
  <r>
    <n v="38"/>
    <x v="1"/>
    <s v="Travel_Frequently"/>
    <n v="594"/>
    <x v="1"/>
    <n v="2"/>
    <n v="2"/>
    <s v="Medical"/>
    <n v="1"/>
    <n v="1760"/>
    <x v="1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x v="2"/>
    <x v="0"/>
    <n v="1"/>
    <n v="0"/>
    <n v="5"/>
  </r>
  <r>
    <n v="31"/>
    <x v="0"/>
    <s v="Travel_Rarely"/>
    <n v="1079"/>
    <x v="0"/>
    <n v="16"/>
    <n v="4"/>
    <s v="Marketing"/>
    <n v="1"/>
    <n v="1761"/>
    <x v="3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x v="1"/>
    <x v="6"/>
    <n v="0"/>
    <n v="0"/>
    <n v="0"/>
  </r>
  <r>
    <n v="29"/>
    <x v="1"/>
    <s v="Travel_Rarely"/>
    <n v="590"/>
    <x v="1"/>
    <n v="4"/>
    <n v="3"/>
    <s v="Technical Degree"/>
    <n v="1"/>
    <n v="1762"/>
    <x v="2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x v="1"/>
    <x v="6"/>
    <n v="0"/>
    <n v="0"/>
    <n v="0"/>
  </r>
  <r>
    <n v="30"/>
    <x v="1"/>
    <s v="Travel_Rarely"/>
    <n v="305"/>
    <x v="1"/>
    <n v="16"/>
    <n v="3"/>
    <s v="Life Sciences"/>
    <n v="1"/>
    <n v="1763"/>
    <x v="1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x v="1"/>
    <x v="5"/>
    <n v="0"/>
    <n v="1"/>
    <n v="7"/>
  </r>
  <r>
    <n v="32"/>
    <x v="1"/>
    <s v="Non-Travel"/>
    <n v="953"/>
    <x v="1"/>
    <n v="5"/>
    <n v="4"/>
    <s v="Technical Degree"/>
    <n v="1"/>
    <n v="1764"/>
    <x v="0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x v="1"/>
    <x v="5"/>
    <n v="7"/>
    <n v="0"/>
    <n v="7"/>
  </r>
  <r>
    <n v="38"/>
    <x v="1"/>
    <s v="Travel_Rarely"/>
    <n v="833"/>
    <x v="1"/>
    <n v="18"/>
    <n v="3"/>
    <s v="Medical"/>
    <n v="1"/>
    <n v="1766"/>
    <x v="0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x v="1"/>
    <x v="6"/>
    <n v="0"/>
    <n v="1"/>
    <n v="0"/>
  </r>
  <r>
    <n v="43"/>
    <x v="0"/>
    <s v="Travel_Frequently"/>
    <n v="807"/>
    <x v="1"/>
    <n v="17"/>
    <n v="3"/>
    <s v="Technical Degree"/>
    <n v="1"/>
    <n v="1767"/>
    <x v="1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x v="1"/>
    <x v="6"/>
    <n v="0"/>
    <n v="0"/>
    <n v="0"/>
  </r>
  <r>
    <n v="42"/>
    <x v="1"/>
    <s v="Travel_Rarely"/>
    <n v="855"/>
    <x v="1"/>
    <n v="12"/>
    <n v="3"/>
    <s v="Medical"/>
    <n v="1"/>
    <n v="1768"/>
    <x v="0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x v="2"/>
    <x v="8"/>
    <n v="3"/>
    <n v="0"/>
    <n v="4"/>
  </r>
  <r>
    <n v="55"/>
    <x v="1"/>
    <s v="Travel_Rarely"/>
    <n v="478"/>
    <x v="1"/>
    <n v="2"/>
    <n v="3"/>
    <s v="Medical"/>
    <n v="1"/>
    <n v="1770"/>
    <x v="1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x v="1"/>
    <x v="6"/>
    <n v="0"/>
    <n v="0"/>
    <n v="0"/>
  </r>
  <r>
    <n v="33"/>
    <x v="1"/>
    <s v="Non-Travel"/>
    <n v="775"/>
    <x v="1"/>
    <n v="4"/>
    <n v="3"/>
    <s v="Technical Degree"/>
    <n v="1"/>
    <n v="1771"/>
    <x v="2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x v="2"/>
    <x v="7"/>
    <n v="8"/>
    <n v="1"/>
    <n v="7"/>
  </r>
  <r>
    <n v="41"/>
    <x v="1"/>
    <s v="Travel_Rarely"/>
    <n v="548"/>
    <x v="1"/>
    <n v="9"/>
    <n v="4"/>
    <s v="Life Sciences"/>
    <n v="1"/>
    <n v="1772"/>
    <x v="1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x v="1"/>
    <x v="8"/>
    <n v="3"/>
    <n v="0"/>
    <n v="4"/>
  </r>
  <r>
    <n v="34"/>
    <x v="1"/>
    <s v="Non-Travel"/>
    <n v="1375"/>
    <x v="0"/>
    <n v="10"/>
    <n v="3"/>
    <s v="Life Sciences"/>
    <n v="1"/>
    <n v="1774"/>
    <x v="2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x v="1"/>
    <x v="15"/>
    <n v="14"/>
    <n v="0"/>
    <n v="7"/>
  </r>
  <r>
    <n v="53"/>
    <x v="1"/>
    <s v="Non-Travel"/>
    <n v="661"/>
    <x v="1"/>
    <n v="1"/>
    <n v="4"/>
    <s v="Medical"/>
    <n v="1"/>
    <n v="1775"/>
    <x v="3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x v="2"/>
    <x v="11"/>
    <n v="2"/>
    <n v="0"/>
    <n v="2"/>
  </r>
  <r>
    <n v="43"/>
    <x v="1"/>
    <s v="Travel_Rarely"/>
    <n v="244"/>
    <x v="2"/>
    <n v="2"/>
    <n v="3"/>
    <s v="Life Sciences"/>
    <n v="1"/>
    <n v="1778"/>
    <x v="0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x v="1"/>
    <x v="7"/>
    <n v="7"/>
    <n v="1"/>
    <n v="8"/>
  </r>
  <r>
    <n v="34"/>
    <x v="1"/>
    <s v="Travel_Rarely"/>
    <n v="511"/>
    <x v="0"/>
    <n v="3"/>
    <n v="2"/>
    <s v="Life Sciences"/>
    <n v="1"/>
    <n v="1779"/>
    <x v="2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x v="1"/>
    <x v="4"/>
    <n v="2"/>
    <n v="2"/>
    <n v="2"/>
  </r>
  <r>
    <n v="21"/>
    <x v="0"/>
    <s v="Travel_Rarely"/>
    <n v="337"/>
    <x v="0"/>
    <n v="7"/>
    <n v="1"/>
    <s v="Marketing"/>
    <n v="1"/>
    <n v="1780"/>
    <x v="0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x v="1"/>
    <x v="6"/>
    <n v="0"/>
    <n v="1"/>
    <n v="0"/>
  </r>
  <r>
    <n v="38"/>
    <x v="1"/>
    <s v="Travel_Rarely"/>
    <n v="1153"/>
    <x v="1"/>
    <n v="6"/>
    <n v="2"/>
    <s v="Other"/>
    <n v="1"/>
    <n v="1782"/>
    <x v="2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x v="1"/>
    <x v="8"/>
    <n v="4"/>
    <n v="0"/>
    <n v="4"/>
  </r>
  <r>
    <n v="22"/>
    <x v="0"/>
    <s v="Travel_Rarely"/>
    <n v="1294"/>
    <x v="1"/>
    <n v="8"/>
    <n v="1"/>
    <s v="Medical"/>
    <n v="1"/>
    <n v="1783"/>
    <x v="1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x v="1"/>
    <x v="6"/>
    <n v="0"/>
    <n v="0"/>
    <n v="0"/>
  </r>
  <r>
    <n v="31"/>
    <x v="1"/>
    <s v="Travel_Rarely"/>
    <n v="196"/>
    <x v="0"/>
    <n v="29"/>
    <n v="4"/>
    <s v="Marketing"/>
    <n v="1"/>
    <n v="1784"/>
    <x v="3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x v="1"/>
    <x v="12"/>
    <n v="7"/>
    <n v="5"/>
    <n v="7"/>
  </r>
  <r>
    <n v="51"/>
    <x v="1"/>
    <s v="Travel_Rarely"/>
    <n v="942"/>
    <x v="1"/>
    <n v="3"/>
    <n v="3"/>
    <s v="Technical Degree"/>
    <n v="1"/>
    <n v="1786"/>
    <x v="3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x v="1"/>
    <x v="4"/>
    <n v="2"/>
    <n v="2"/>
    <n v="2"/>
  </r>
  <r>
    <n v="37"/>
    <x v="1"/>
    <s v="Travel_Rarely"/>
    <n v="589"/>
    <x v="0"/>
    <n v="9"/>
    <n v="2"/>
    <s v="Marketing"/>
    <n v="1"/>
    <n v="1787"/>
    <x v="0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x v="1"/>
    <x v="8"/>
    <n v="2"/>
    <n v="0"/>
    <n v="3"/>
  </r>
  <r>
    <n v="46"/>
    <x v="1"/>
    <s v="Travel_Rarely"/>
    <n v="734"/>
    <x v="1"/>
    <n v="2"/>
    <n v="4"/>
    <s v="Medical"/>
    <n v="1"/>
    <n v="1789"/>
    <x v="1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x v="1"/>
    <x v="4"/>
    <n v="1"/>
    <n v="2"/>
    <n v="2"/>
  </r>
  <r>
    <n v="36"/>
    <x v="1"/>
    <s v="Travel_Rarely"/>
    <n v="1383"/>
    <x v="1"/>
    <n v="10"/>
    <n v="3"/>
    <s v="Life Sciences"/>
    <n v="1"/>
    <n v="1790"/>
    <x v="2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x v="1"/>
    <x v="12"/>
    <n v="8"/>
    <n v="5"/>
    <n v="7"/>
  </r>
  <r>
    <n v="44"/>
    <x v="0"/>
    <s v="Travel_Frequently"/>
    <n v="429"/>
    <x v="1"/>
    <n v="1"/>
    <n v="2"/>
    <s v="Medical"/>
    <n v="1"/>
    <n v="1792"/>
    <x v="1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x v="2"/>
    <x v="8"/>
    <n v="3"/>
    <n v="2"/>
    <n v="3"/>
  </r>
  <r>
    <n v="37"/>
    <x v="1"/>
    <s v="Travel_Rarely"/>
    <n v="1239"/>
    <x v="2"/>
    <n v="8"/>
    <n v="2"/>
    <s v="Other"/>
    <n v="1"/>
    <n v="1794"/>
    <x v="1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x v="2"/>
    <x v="1"/>
    <n v="0"/>
    <n v="4"/>
    <n v="7"/>
  </r>
  <r>
    <n v="35"/>
    <x v="0"/>
    <s v="Travel_Rarely"/>
    <n v="303"/>
    <x v="0"/>
    <n v="27"/>
    <n v="3"/>
    <s v="Life Sciences"/>
    <n v="1"/>
    <n v="1797"/>
    <x v="1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x v="1"/>
    <x v="1"/>
    <n v="7"/>
    <n v="7"/>
    <n v="7"/>
  </r>
  <r>
    <n v="33"/>
    <x v="1"/>
    <s v="Travel_Rarely"/>
    <n v="867"/>
    <x v="1"/>
    <n v="8"/>
    <n v="4"/>
    <s v="Life Sciences"/>
    <n v="1"/>
    <n v="1798"/>
    <x v="2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x v="1"/>
    <x v="1"/>
    <n v="8"/>
    <n v="7"/>
    <n v="6"/>
  </r>
  <r>
    <n v="28"/>
    <x v="1"/>
    <s v="Travel_Rarely"/>
    <n v="1181"/>
    <x v="1"/>
    <n v="1"/>
    <n v="3"/>
    <s v="Life Sciences"/>
    <n v="1"/>
    <n v="1799"/>
    <x v="1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x v="3"/>
    <x v="8"/>
    <n v="3"/>
    <n v="0"/>
    <n v="3"/>
  </r>
  <r>
    <n v="39"/>
    <x v="1"/>
    <s v="Travel_Rarely"/>
    <n v="1253"/>
    <x v="1"/>
    <n v="10"/>
    <n v="1"/>
    <s v="Medical"/>
    <n v="1"/>
    <n v="1800"/>
    <x v="1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x v="1"/>
    <x v="9"/>
    <n v="3"/>
    <n v="2"/>
    <n v="2"/>
  </r>
  <r>
    <n v="46"/>
    <x v="1"/>
    <s v="Non-Travel"/>
    <n v="849"/>
    <x v="0"/>
    <n v="26"/>
    <n v="2"/>
    <s v="Life Sciences"/>
    <n v="1"/>
    <n v="1801"/>
    <x v="0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x v="1"/>
    <x v="4"/>
    <n v="2"/>
    <n v="2"/>
    <n v="2"/>
  </r>
  <r>
    <n v="40"/>
    <x v="1"/>
    <s v="Travel_Rarely"/>
    <n v="616"/>
    <x v="1"/>
    <n v="2"/>
    <n v="2"/>
    <s v="Life Sciences"/>
    <n v="1"/>
    <n v="1802"/>
    <x v="1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x v="2"/>
    <x v="9"/>
    <n v="3"/>
    <n v="0"/>
    <n v="2"/>
  </r>
  <r>
    <n v="42"/>
    <x v="1"/>
    <s v="Travel_Rarely"/>
    <n v="1128"/>
    <x v="1"/>
    <n v="13"/>
    <n v="3"/>
    <s v="Medical"/>
    <n v="1"/>
    <n v="1803"/>
    <x v="0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x v="2"/>
    <x v="2"/>
    <n v="0"/>
    <n v="0"/>
    <n v="0"/>
  </r>
  <r>
    <n v="35"/>
    <x v="1"/>
    <s v="Non-Travel"/>
    <n v="1180"/>
    <x v="1"/>
    <n v="2"/>
    <n v="2"/>
    <s v="Medical"/>
    <n v="1"/>
    <n v="1804"/>
    <x v="0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x v="1"/>
    <x v="5"/>
    <n v="7"/>
    <n v="1"/>
    <n v="7"/>
  </r>
  <r>
    <n v="38"/>
    <x v="1"/>
    <s v="Non-Travel"/>
    <n v="1336"/>
    <x v="2"/>
    <n v="2"/>
    <n v="3"/>
    <s v="Human Resources"/>
    <n v="1"/>
    <n v="1805"/>
    <x v="3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x v="1"/>
    <x v="19"/>
    <n v="10"/>
    <n v="3"/>
    <n v="8"/>
  </r>
  <r>
    <n v="34"/>
    <x v="0"/>
    <s v="Travel_Frequently"/>
    <n v="234"/>
    <x v="1"/>
    <n v="9"/>
    <n v="4"/>
    <s v="Life Sciences"/>
    <n v="1"/>
    <n v="1807"/>
    <x v="2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x v="2"/>
    <x v="5"/>
    <n v="1"/>
    <n v="0"/>
    <n v="7"/>
  </r>
  <r>
    <n v="37"/>
    <x v="0"/>
    <s v="Travel_Rarely"/>
    <n v="370"/>
    <x v="1"/>
    <n v="10"/>
    <n v="4"/>
    <s v="Medical"/>
    <n v="1"/>
    <n v="1809"/>
    <x v="2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x v="0"/>
    <x v="1"/>
    <n v="3"/>
    <n v="0"/>
    <n v="8"/>
  </r>
  <r>
    <n v="39"/>
    <x v="1"/>
    <s v="Travel_Frequently"/>
    <n v="766"/>
    <x v="0"/>
    <n v="20"/>
    <n v="3"/>
    <s v="Life Sciences"/>
    <n v="1"/>
    <n v="1812"/>
    <x v="1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x v="1"/>
    <x v="4"/>
    <n v="1"/>
    <n v="2"/>
    <n v="2"/>
  </r>
  <r>
    <n v="43"/>
    <x v="1"/>
    <s v="Non-Travel"/>
    <n v="343"/>
    <x v="1"/>
    <n v="9"/>
    <n v="3"/>
    <s v="Life Sciences"/>
    <n v="1"/>
    <n v="1813"/>
    <x v="3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x v="2"/>
    <x v="11"/>
    <n v="2"/>
    <n v="1"/>
    <n v="2"/>
  </r>
  <r>
    <n v="41"/>
    <x v="1"/>
    <s v="Travel_Rarely"/>
    <n v="447"/>
    <x v="1"/>
    <n v="5"/>
    <n v="3"/>
    <s v="Life Sciences"/>
    <n v="1"/>
    <n v="1814"/>
    <x v="0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x v="0"/>
    <x v="11"/>
    <n v="2"/>
    <n v="1"/>
    <n v="2"/>
  </r>
  <r>
    <n v="41"/>
    <x v="1"/>
    <s v="Travel_Rarely"/>
    <n v="796"/>
    <x v="0"/>
    <n v="4"/>
    <n v="1"/>
    <s v="Marketing"/>
    <n v="1"/>
    <n v="1815"/>
    <x v="1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x v="3"/>
    <x v="14"/>
    <n v="14"/>
    <n v="13"/>
    <n v="5"/>
  </r>
  <r>
    <n v="30"/>
    <x v="1"/>
    <s v="Travel_Rarely"/>
    <n v="1092"/>
    <x v="1"/>
    <n v="10"/>
    <n v="3"/>
    <s v="Medical"/>
    <n v="1"/>
    <n v="1816"/>
    <x v="3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x v="1"/>
    <x v="5"/>
    <n v="7"/>
    <n v="0"/>
    <n v="2"/>
  </r>
  <r>
    <n v="26"/>
    <x v="0"/>
    <s v="Travel_Rarely"/>
    <n v="920"/>
    <x v="2"/>
    <n v="20"/>
    <n v="2"/>
    <s v="Medical"/>
    <n v="1"/>
    <n v="1818"/>
    <x v="2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x v="1"/>
    <x v="8"/>
    <n v="1"/>
    <n v="1"/>
    <n v="4"/>
  </r>
  <r>
    <n v="46"/>
    <x v="0"/>
    <s v="Travel_Rarely"/>
    <n v="261"/>
    <x v="1"/>
    <n v="21"/>
    <n v="2"/>
    <s v="Medical"/>
    <n v="1"/>
    <n v="1821"/>
    <x v="2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x v="3"/>
    <x v="7"/>
    <n v="7"/>
    <n v="3"/>
    <n v="7"/>
  </r>
  <r>
    <n v="40"/>
    <x v="1"/>
    <s v="Travel_Rarely"/>
    <n v="1194"/>
    <x v="1"/>
    <n v="1"/>
    <n v="3"/>
    <s v="Life Sciences"/>
    <n v="1"/>
    <n v="1822"/>
    <x v="1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x v="1"/>
    <x v="8"/>
    <n v="3"/>
    <n v="0"/>
    <n v="3"/>
  </r>
  <r>
    <n v="34"/>
    <x v="1"/>
    <s v="Travel_Rarely"/>
    <n v="810"/>
    <x v="0"/>
    <n v="8"/>
    <n v="2"/>
    <s v="Technical Degree"/>
    <n v="1"/>
    <n v="1823"/>
    <x v="0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x v="1"/>
    <x v="1"/>
    <n v="8"/>
    <n v="4"/>
    <n v="8"/>
  </r>
  <r>
    <n v="58"/>
    <x v="1"/>
    <s v="Non-Travel"/>
    <n v="350"/>
    <x v="0"/>
    <n v="2"/>
    <n v="3"/>
    <s v="Medical"/>
    <n v="1"/>
    <n v="1824"/>
    <x v="0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x v="2"/>
    <x v="22"/>
    <n v="9"/>
    <n v="14"/>
    <n v="14"/>
  </r>
  <r>
    <n v="35"/>
    <x v="1"/>
    <s v="Travel_Rarely"/>
    <n v="185"/>
    <x v="1"/>
    <n v="23"/>
    <n v="4"/>
    <s v="Medical"/>
    <n v="1"/>
    <n v="1826"/>
    <x v="0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x v="3"/>
    <x v="8"/>
    <n v="4"/>
    <n v="0"/>
    <n v="3"/>
  </r>
  <r>
    <n v="47"/>
    <x v="1"/>
    <s v="Travel_Rarely"/>
    <n v="1001"/>
    <x v="1"/>
    <n v="4"/>
    <n v="3"/>
    <s v="Life Sciences"/>
    <n v="1"/>
    <n v="1827"/>
    <x v="1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x v="1"/>
    <x v="14"/>
    <n v="11"/>
    <n v="14"/>
    <n v="10"/>
  </r>
  <r>
    <n v="40"/>
    <x v="1"/>
    <s v="Travel_Rarely"/>
    <n v="750"/>
    <x v="1"/>
    <n v="12"/>
    <n v="3"/>
    <s v="Life Sciences"/>
    <n v="1"/>
    <n v="1829"/>
    <x v="0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x v="1"/>
    <x v="5"/>
    <n v="4"/>
    <n v="7"/>
    <n v="7"/>
  </r>
  <r>
    <n v="54"/>
    <x v="1"/>
    <s v="Travel_Rarely"/>
    <n v="431"/>
    <x v="1"/>
    <n v="7"/>
    <n v="4"/>
    <s v="Medical"/>
    <n v="1"/>
    <n v="1830"/>
    <x v="2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x v="2"/>
    <x v="5"/>
    <n v="1"/>
    <n v="1"/>
    <n v="7"/>
  </r>
  <r>
    <n v="31"/>
    <x v="1"/>
    <s v="Travel_Frequently"/>
    <n v="1125"/>
    <x v="0"/>
    <n v="7"/>
    <n v="4"/>
    <s v="Marketing"/>
    <n v="1"/>
    <n v="1833"/>
    <x v="3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x v="1"/>
    <x v="11"/>
    <n v="2"/>
    <n v="2"/>
    <n v="2"/>
  </r>
  <r>
    <n v="28"/>
    <x v="1"/>
    <s v="Travel_Rarely"/>
    <n v="1217"/>
    <x v="1"/>
    <n v="1"/>
    <n v="3"/>
    <s v="Medical"/>
    <n v="1"/>
    <n v="1834"/>
    <x v="1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x v="1"/>
    <x v="11"/>
    <n v="2"/>
    <n v="1"/>
    <n v="2"/>
  </r>
  <r>
    <n v="38"/>
    <x v="1"/>
    <s v="Travel_Rarely"/>
    <n v="723"/>
    <x v="0"/>
    <n v="2"/>
    <n v="4"/>
    <s v="Marketing"/>
    <n v="1"/>
    <n v="1835"/>
    <x v="0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x v="2"/>
    <x v="9"/>
    <n v="2"/>
    <n v="0"/>
    <n v="3"/>
  </r>
  <r>
    <n v="26"/>
    <x v="1"/>
    <s v="Travel_Rarely"/>
    <n v="572"/>
    <x v="0"/>
    <n v="10"/>
    <n v="3"/>
    <s v="Medical"/>
    <n v="1"/>
    <n v="1836"/>
    <x v="1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x v="1"/>
    <x v="8"/>
    <n v="3"/>
    <n v="1"/>
    <n v="2"/>
  </r>
  <r>
    <n v="58"/>
    <x v="1"/>
    <s v="Travel_Frequently"/>
    <n v="1216"/>
    <x v="1"/>
    <n v="15"/>
    <n v="4"/>
    <s v="Life Sciences"/>
    <n v="1"/>
    <n v="1837"/>
    <x v="3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x v="1"/>
    <x v="4"/>
    <n v="2"/>
    <n v="2"/>
    <n v="2"/>
  </r>
  <r>
    <n v="18"/>
    <x v="1"/>
    <s v="Non-Travel"/>
    <n v="1431"/>
    <x v="1"/>
    <n v="14"/>
    <n v="3"/>
    <s v="Medical"/>
    <n v="1"/>
    <n v="1839"/>
    <x v="0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x v="0"/>
    <x v="2"/>
    <n v="0"/>
    <n v="0"/>
    <n v="0"/>
  </r>
  <r>
    <n v="31"/>
    <x v="0"/>
    <s v="Travel_Rarely"/>
    <n v="359"/>
    <x v="2"/>
    <n v="18"/>
    <n v="5"/>
    <s v="Human Resources"/>
    <n v="1"/>
    <n v="1842"/>
    <x v="2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x v="1"/>
    <x v="6"/>
    <n v="0"/>
    <n v="0"/>
    <n v="0"/>
  </r>
  <r>
    <n v="29"/>
    <x v="0"/>
    <s v="Travel_Rarely"/>
    <n v="350"/>
    <x v="2"/>
    <n v="13"/>
    <n v="3"/>
    <s v="Human Resources"/>
    <n v="1"/>
    <n v="1844"/>
    <x v="3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x v="1"/>
    <x v="4"/>
    <n v="2"/>
    <n v="2"/>
    <n v="0"/>
  </r>
  <r>
    <n v="45"/>
    <x v="1"/>
    <s v="Non-Travel"/>
    <n v="589"/>
    <x v="0"/>
    <n v="2"/>
    <n v="4"/>
    <s v="Life Sciences"/>
    <n v="1"/>
    <n v="1845"/>
    <x v="1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x v="3"/>
    <x v="3"/>
    <n v="7"/>
    <n v="5"/>
    <n v="7"/>
  </r>
  <r>
    <n v="36"/>
    <x v="1"/>
    <s v="Travel_Rarely"/>
    <n v="430"/>
    <x v="1"/>
    <n v="2"/>
    <n v="4"/>
    <s v="Other"/>
    <n v="1"/>
    <n v="1847"/>
    <x v="2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x v="1"/>
    <x v="6"/>
    <n v="0"/>
    <n v="0"/>
    <n v="0"/>
  </r>
  <r>
    <n v="43"/>
    <x v="1"/>
    <s v="Travel_Frequently"/>
    <n v="1422"/>
    <x v="0"/>
    <n v="2"/>
    <n v="4"/>
    <s v="Life Sciences"/>
    <n v="1"/>
    <n v="1849"/>
    <x v="3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x v="1"/>
    <x v="5"/>
    <n v="7"/>
    <n v="7"/>
    <n v="7"/>
  </r>
  <r>
    <n v="27"/>
    <x v="1"/>
    <s v="Travel_Frequently"/>
    <n v="1297"/>
    <x v="1"/>
    <n v="5"/>
    <n v="2"/>
    <s v="Life Sciences"/>
    <n v="1"/>
    <n v="1850"/>
    <x v="2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x v="2"/>
    <x v="8"/>
    <n v="4"/>
    <n v="0"/>
    <n v="2"/>
  </r>
  <r>
    <n v="29"/>
    <x v="1"/>
    <s v="Travel_Frequently"/>
    <n v="574"/>
    <x v="1"/>
    <n v="20"/>
    <n v="1"/>
    <s v="Medical"/>
    <n v="1"/>
    <n v="1852"/>
    <x v="2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x v="3"/>
    <x v="19"/>
    <n v="8"/>
    <n v="3"/>
    <n v="10"/>
  </r>
  <r>
    <n v="32"/>
    <x v="1"/>
    <s v="Travel_Frequently"/>
    <n v="1318"/>
    <x v="0"/>
    <n v="10"/>
    <n v="4"/>
    <s v="Marketing"/>
    <n v="1"/>
    <n v="1853"/>
    <x v="2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x v="3"/>
    <x v="2"/>
    <n v="0"/>
    <n v="0"/>
    <n v="0"/>
  </r>
  <r>
    <n v="42"/>
    <x v="1"/>
    <s v="Non-Travel"/>
    <n v="355"/>
    <x v="1"/>
    <n v="10"/>
    <n v="4"/>
    <s v="Technical Degree"/>
    <n v="1"/>
    <n v="1854"/>
    <x v="1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x v="2"/>
    <x v="0"/>
    <n v="3"/>
    <n v="3"/>
    <n v="3"/>
  </r>
  <r>
    <n v="47"/>
    <x v="1"/>
    <s v="Travel_Rarely"/>
    <n v="207"/>
    <x v="1"/>
    <n v="9"/>
    <n v="4"/>
    <s v="Life Sciences"/>
    <n v="1"/>
    <n v="1856"/>
    <x v="0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x v="1"/>
    <x v="4"/>
    <n v="2"/>
    <n v="2"/>
    <n v="0"/>
  </r>
  <r>
    <n v="46"/>
    <x v="1"/>
    <s v="Travel_Rarely"/>
    <n v="706"/>
    <x v="1"/>
    <n v="2"/>
    <n v="2"/>
    <s v="Life Sciences"/>
    <n v="1"/>
    <n v="1857"/>
    <x v="2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x v="2"/>
    <x v="7"/>
    <n v="8"/>
    <n v="4"/>
    <n v="7"/>
  </r>
  <r>
    <n v="28"/>
    <x v="1"/>
    <s v="Non-Travel"/>
    <n v="280"/>
    <x v="2"/>
    <n v="1"/>
    <n v="2"/>
    <s v="Life Sciences"/>
    <n v="1"/>
    <n v="1858"/>
    <x v="1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x v="1"/>
    <x v="11"/>
    <n v="2"/>
    <n v="2"/>
    <n v="2"/>
  </r>
  <r>
    <n v="29"/>
    <x v="1"/>
    <s v="Travel_Rarely"/>
    <n v="726"/>
    <x v="1"/>
    <n v="29"/>
    <n v="1"/>
    <s v="Life Sciences"/>
    <n v="1"/>
    <n v="1859"/>
    <x v="2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x v="1"/>
    <x v="5"/>
    <n v="0"/>
    <n v="1"/>
    <n v="6"/>
  </r>
  <r>
    <n v="42"/>
    <x v="1"/>
    <s v="Travel_Rarely"/>
    <n v="1142"/>
    <x v="1"/>
    <n v="8"/>
    <n v="3"/>
    <s v="Life Sciences"/>
    <n v="1"/>
    <n v="1860"/>
    <x v="2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x v="1"/>
    <x v="2"/>
    <n v="0"/>
    <n v="0"/>
    <n v="0"/>
  </r>
  <r>
    <n v="32"/>
    <x v="0"/>
    <s v="Travel_Rarely"/>
    <n v="414"/>
    <x v="0"/>
    <n v="2"/>
    <n v="4"/>
    <s v="Marketing"/>
    <n v="1"/>
    <n v="1862"/>
    <x v="1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x v="2"/>
    <x v="4"/>
    <n v="2"/>
    <n v="2"/>
    <n v="2"/>
  </r>
  <r>
    <n v="46"/>
    <x v="1"/>
    <s v="Travel_Rarely"/>
    <n v="1319"/>
    <x v="0"/>
    <n v="3"/>
    <n v="3"/>
    <s v="Technical Degree"/>
    <n v="1"/>
    <n v="1863"/>
    <x v="3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x v="1"/>
    <x v="27"/>
    <n v="17"/>
    <n v="2"/>
    <n v="8"/>
  </r>
  <r>
    <n v="27"/>
    <x v="1"/>
    <s v="Travel_Rarely"/>
    <n v="728"/>
    <x v="0"/>
    <n v="23"/>
    <n v="1"/>
    <s v="Medical"/>
    <n v="1"/>
    <n v="1864"/>
    <x v="0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x v="1"/>
    <x v="7"/>
    <n v="8"/>
    <n v="5"/>
    <n v="8"/>
  </r>
  <r>
    <n v="29"/>
    <x v="1"/>
    <s v="Travel_Rarely"/>
    <n v="352"/>
    <x v="2"/>
    <n v="6"/>
    <n v="1"/>
    <s v="Medical"/>
    <n v="1"/>
    <n v="1865"/>
    <x v="2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x v="1"/>
    <x v="6"/>
    <n v="0"/>
    <n v="0"/>
    <n v="0"/>
  </r>
  <r>
    <n v="43"/>
    <x v="1"/>
    <s v="Travel_Rarely"/>
    <n v="823"/>
    <x v="1"/>
    <n v="6"/>
    <n v="3"/>
    <s v="Medical"/>
    <n v="1"/>
    <n v="1866"/>
    <x v="3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x v="1"/>
    <x v="22"/>
    <n v="12"/>
    <n v="6"/>
    <n v="14"/>
  </r>
  <r>
    <n v="48"/>
    <x v="1"/>
    <s v="Travel_Rarely"/>
    <n v="1224"/>
    <x v="1"/>
    <n v="10"/>
    <n v="3"/>
    <s v="Life Sciences"/>
    <n v="1"/>
    <n v="1867"/>
    <x v="2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x v="1"/>
    <x v="14"/>
    <n v="10"/>
    <n v="12"/>
    <n v="9"/>
  </r>
  <r>
    <n v="29"/>
    <x v="0"/>
    <s v="Travel_Frequently"/>
    <n v="459"/>
    <x v="1"/>
    <n v="24"/>
    <n v="2"/>
    <s v="Life Sciences"/>
    <n v="1"/>
    <n v="1868"/>
    <x v="2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x v="2"/>
    <x v="6"/>
    <n v="0"/>
    <n v="1"/>
    <n v="0"/>
  </r>
  <r>
    <n v="46"/>
    <x v="0"/>
    <s v="Travel_Rarely"/>
    <n v="1254"/>
    <x v="0"/>
    <n v="10"/>
    <n v="3"/>
    <s v="Life Sciences"/>
    <n v="1"/>
    <n v="1869"/>
    <x v="1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x v="1"/>
    <x v="3"/>
    <n v="7"/>
    <n v="0"/>
    <n v="7"/>
  </r>
  <r>
    <n v="27"/>
    <x v="1"/>
    <s v="Travel_Frequently"/>
    <n v="1131"/>
    <x v="1"/>
    <n v="15"/>
    <n v="3"/>
    <s v="Life Sciences"/>
    <n v="1"/>
    <n v="1870"/>
    <x v="2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x v="2"/>
    <x v="5"/>
    <n v="6"/>
    <n v="7"/>
    <n v="3"/>
  </r>
  <r>
    <n v="39"/>
    <x v="1"/>
    <s v="Travel_Rarely"/>
    <n v="835"/>
    <x v="1"/>
    <n v="19"/>
    <n v="4"/>
    <s v="Other"/>
    <n v="1"/>
    <n v="1871"/>
    <x v="2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x v="1"/>
    <x v="4"/>
    <n v="2"/>
    <n v="2"/>
    <n v="2"/>
  </r>
  <r>
    <n v="55"/>
    <x v="1"/>
    <s v="Travel_Rarely"/>
    <n v="836"/>
    <x v="1"/>
    <n v="2"/>
    <n v="4"/>
    <s v="Technical Degree"/>
    <n v="1"/>
    <n v="1873"/>
    <x v="0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x v="3"/>
    <x v="8"/>
    <n v="2"/>
    <n v="0"/>
    <n v="4"/>
  </r>
  <r>
    <n v="28"/>
    <x v="1"/>
    <s v="Travel_Rarely"/>
    <n v="1172"/>
    <x v="0"/>
    <n v="3"/>
    <n v="3"/>
    <s v="Medical"/>
    <n v="1"/>
    <n v="1875"/>
    <x v="0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x v="1"/>
    <x v="6"/>
    <n v="0"/>
    <n v="0"/>
    <n v="0"/>
  </r>
  <r>
    <n v="30"/>
    <x v="0"/>
    <s v="Travel_Rarely"/>
    <n v="945"/>
    <x v="0"/>
    <n v="9"/>
    <n v="3"/>
    <s v="Medical"/>
    <n v="1"/>
    <n v="1876"/>
    <x v="0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x v="2"/>
    <x v="6"/>
    <n v="0"/>
    <n v="0"/>
    <n v="0"/>
  </r>
  <r>
    <n v="22"/>
    <x v="0"/>
    <s v="Travel_Rarely"/>
    <n v="391"/>
    <x v="1"/>
    <n v="7"/>
    <n v="1"/>
    <s v="Life Sciences"/>
    <n v="1"/>
    <n v="1878"/>
    <x v="2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x v="1"/>
    <x v="6"/>
    <n v="0"/>
    <n v="0"/>
    <n v="0"/>
  </r>
  <r>
    <n v="36"/>
    <x v="1"/>
    <s v="Travel_Rarely"/>
    <n v="1266"/>
    <x v="0"/>
    <n v="10"/>
    <n v="4"/>
    <s v="Technical Degree"/>
    <n v="1"/>
    <n v="1880"/>
    <x v="0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x v="1"/>
    <x v="1"/>
    <n v="9"/>
    <n v="1"/>
    <n v="7"/>
  </r>
  <r>
    <n v="31"/>
    <x v="1"/>
    <s v="Travel_Rarely"/>
    <n v="311"/>
    <x v="1"/>
    <n v="20"/>
    <n v="3"/>
    <s v="Life Sciences"/>
    <n v="1"/>
    <n v="1881"/>
    <x v="0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x v="1"/>
    <x v="1"/>
    <n v="8"/>
    <n v="0"/>
    <n v="2"/>
  </r>
  <r>
    <n v="34"/>
    <x v="1"/>
    <s v="Travel_Rarely"/>
    <n v="1480"/>
    <x v="0"/>
    <n v="4"/>
    <n v="3"/>
    <s v="Life Sciences"/>
    <n v="1"/>
    <n v="1882"/>
    <x v="1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x v="1"/>
    <x v="8"/>
    <n v="3"/>
    <n v="1"/>
    <n v="0"/>
  </r>
  <r>
    <n v="29"/>
    <x v="1"/>
    <s v="Travel_Rarely"/>
    <n v="592"/>
    <x v="1"/>
    <n v="7"/>
    <n v="3"/>
    <s v="Life Sciences"/>
    <n v="1"/>
    <n v="1883"/>
    <x v="2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x v="1"/>
    <x v="11"/>
    <n v="2"/>
    <n v="1"/>
    <n v="2"/>
  </r>
  <r>
    <n v="37"/>
    <x v="1"/>
    <s v="Travel_Rarely"/>
    <n v="783"/>
    <x v="1"/>
    <n v="7"/>
    <n v="4"/>
    <s v="Medical"/>
    <n v="1"/>
    <n v="1885"/>
    <x v="2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x v="1"/>
    <x v="8"/>
    <n v="3"/>
    <n v="0"/>
    <n v="4"/>
  </r>
  <r>
    <n v="35"/>
    <x v="1"/>
    <s v="Travel_Rarely"/>
    <n v="219"/>
    <x v="1"/>
    <n v="16"/>
    <n v="2"/>
    <s v="Other"/>
    <n v="1"/>
    <n v="1886"/>
    <x v="2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x v="1"/>
    <x v="11"/>
    <n v="2"/>
    <n v="0"/>
    <n v="2"/>
  </r>
  <r>
    <n v="45"/>
    <x v="1"/>
    <s v="Travel_Rarely"/>
    <n v="556"/>
    <x v="1"/>
    <n v="25"/>
    <n v="2"/>
    <s v="Life Sciences"/>
    <n v="1"/>
    <n v="1888"/>
    <x v="0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x v="2"/>
    <x v="7"/>
    <n v="8"/>
    <n v="3"/>
    <n v="8"/>
  </r>
  <r>
    <n v="36"/>
    <x v="1"/>
    <s v="Travel_Frequently"/>
    <n v="1213"/>
    <x v="2"/>
    <n v="2"/>
    <n v="1"/>
    <s v="Human Resources"/>
    <n v="1"/>
    <n v="1890"/>
    <x v="0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x v="2"/>
    <x v="1"/>
    <n v="1"/>
    <n v="0"/>
    <n v="8"/>
  </r>
  <r>
    <n v="40"/>
    <x v="1"/>
    <s v="Travel_Rarely"/>
    <n v="1137"/>
    <x v="1"/>
    <n v="1"/>
    <n v="4"/>
    <s v="Life Sciences"/>
    <n v="1"/>
    <n v="1892"/>
    <x v="3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x v="1"/>
    <x v="27"/>
    <n v="7"/>
    <n v="11"/>
    <n v="16"/>
  </r>
  <r>
    <n v="26"/>
    <x v="1"/>
    <s v="Travel_Rarely"/>
    <n v="482"/>
    <x v="1"/>
    <n v="1"/>
    <n v="2"/>
    <s v="Life Sciences"/>
    <n v="1"/>
    <n v="1893"/>
    <x v="0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x v="2"/>
    <x v="6"/>
    <n v="0"/>
    <n v="1"/>
    <n v="0"/>
  </r>
  <r>
    <n v="27"/>
    <x v="1"/>
    <s v="Travel_Rarely"/>
    <n v="511"/>
    <x v="0"/>
    <n v="2"/>
    <n v="2"/>
    <s v="Medical"/>
    <n v="1"/>
    <n v="1898"/>
    <x v="3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x v="2"/>
    <x v="3"/>
    <n v="7"/>
    <n v="0"/>
    <n v="7"/>
  </r>
  <r>
    <n v="48"/>
    <x v="1"/>
    <s v="Travel_Frequently"/>
    <n v="117"/>
    <x v="1"/>
    <n v="22"/>
    <n v="3"/>
    <s v="Medical"/>
    <n v="1"/>
    <n v="1900"/>
    <x v="2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x v="1"/>
    <x v="14"/>
    <n v="17"/>
    <n v="4"/>
    <n v="7"/>
  </r>
  <r>
    <n v="44"/>
    <x v="1"/>
    <s v="Travel_Rarely"/>
    <n v="170"/>
    <x v="1"/>
    <n v="1"/>
    <n v="4"/>
    <s v="Life Sciences"/>
    <n v="1"/>
    <n v="1903"/>
    <x v="0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x v="1"/>
    <x v="4"/>
    <n v="0"/>
    <n v="2"/>
    <n v="2"/>
  </r>
  <r>
    <n v="34"/>
    <x v="0"/>
    <s v="Non-Travel"/>
    <n v="967"/>
    <x v="1"/>
    <n v="16"/>
    <n v="4"/>
    <s v="Technical Degree"/>
    <n v="1"/>
    <n v="1905"/>
    <x v="2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x v="1"/>
    <x v="8"/>
    <n v="2"/>
    <n v="3"/>
    <n v="0"/>
  </r>
  <r>
    <n v="56"/>
    <x v="0"/>
    <s v="Travel_Rarely"/>
    <n v="1162"/>
    <x v="1"/>
    <n v="24"/>
    <n v="2"/>
    <s v="Life Sciences"/>
    <n v="1"/>
    <n v="1907"/>
    <x v="3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x v="1"/>
    <x v="9"/>
    <n v="2"/>
    <n v="1"/>
    <n v="0"/>
  </r>
  <r>
    <n v="36"/>
    <x v="1"/>
    <s v="Travel_Rarely"/>
    <n v="335"/>
    <x v="0"/>
    <n v="17"/>
    <n v="2"/>
    <s v="Marketing"/>
    <n v="1"/>
    <n v="1908"/>
    <x v="1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x v="0"/>
    <x v="9"/>
    <n v="2"/>
    <n v="1"/>
    <n v="3"/>
  </r>
  <r>
    <n v="41"/>
    <x v="1"/>
    <s v="Travel_Rarely"/>
    <n v="337"/>
    <x v="0"/>
    <n v="8"/>
    <n v="3"/>
    <s v="Marketing"/>
    <n v="1"/>
    <n v="1909"/>
    <x v="1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x v="1"/>
    <x v="8"/>
    <n v="4"/>
    <n v="1"/>
    <n v="4"/>
  </r>
  <r>
    <n v="42"/>
    <x v="1"/>
    <s v="Travel_Rarely"/>
    <n v="1396"/>
    <x v="1"/>
    <n v="6"/>
    <n v="3"/>
    <s v="Medical"/>
    <n v="1"/>
    <n v="1911"/>
    <x v="1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x v="3"/>
    <x v="20"/>
    <n v="7"/>
    <n v="5"/>
    <n v="7"/>
  </r>
  <r>
    <n v="31"/>
    <x v="1"/>
    <s v="Travel_Rarely"/>
    <n v="1079"/>
    <x v="0"/>
    <n v="10"/>
    <n v="2"/>
    <s v="Medical"/>
    <n v="1"/>
    <n v="1912"/>
    <x v="1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x v="1"/>
    <x v="8"/>
    <n v="2"/>
    <n v="1"/>
    <n v="4"/>
  </r>
  <r>
    <n v="34"/>
    <x v="1"/>
    <s v="Travel_Rarely"/>
    <n v="735"/>
    <x v="0"/>
    <n v="3"/>
    <n v="1"/>
    <s v="Medical"/>
    <n v="1"/>
    <n v="1915"/>
    <x v="2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x v="2"/>
    <x v="9"/>
    <n v="2"/>
    <n v="0"/>
    <n v="1"/>
  </r>
  <r>
    <n v="31"/>
    <x v="1"/>
    <s v="Travel_Rarely"/>
    <n v="471"/>
    <x v="1"/>
    <n v="4"/>
    <n v="3"/>
    <s v="Medical"/>
    <n v="1"/>
    <n v="1916"/>
    <x v="3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x v="2"/>
    <x v="4"/>
    <n v="2"/>
    <n v="2"/>
    <n v="2"/>
  </r>
  <r>
    <n v="26"/>
    <x v="1"/>
    <s v="Travel_Frequently"/>
    <n v="1096"/>
    <x v="1"/>
    <n v="6"/>
    <n v="3"/>
    <s v="Other"/>
    <n v="1"/>
    <n v="1918"/>
    <x v="1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x v="1"/>
    <x v="5"/>
    <n v="7"/>
    <n v="7"/>
    <n v="7"/>
  </r>
  <r>
    <n v="45"/>
    <x v="1"/>
    <s v="Travel_Frequently"/>
    <n v="1297"/>
    <x v="1"/>
    <n v="1"/>
    <n v="4"/>
    <s v="Medical"/>
    <n v="1"/>
    <n v="1922"/>
    <x v="0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x v="1"/>
    <x v="9"/>
    <n v="2"/>
    <n v="0"/>
    <n v="3"/>
  </r>
  <r>
    <n v="33"/>
    <x v="1"/>
    <s v="Travel_Rarely"/>
    <n v="217"/>
    <x v="0"/>
    <n v="10"/>
    <n v="4"/>
    <s v="Marketing"/>
    <n v="1"/>
    <n v="1924"/>
    <x v="0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x v="2"/>
    <x v="1"/>
    <n v="4"/>
    <n v="0"/>
    <n v="9"/>
  </r>
  <r>
    <n v="28"/>
    <x v="1"/>
    <s v="Travel_Frequently"/>
    <n v="783"/>
    <x v="0"/>
    <n v="1"/>
    <n v="2"/>
    <s v="Life Sciences"/>
    <n v="1"/>
    <n v="1927"/>
    <x v="1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x v="1"/>
    <x v="5"/>
    <n v="7"/>
    <n v="0"/>
    <n v="7"/>
  </r>
  <r>
    <n v="29"/>
    <x v="0"/>
    <s v="Travel_Frequently"/>
    <n v="746"/>
    <x v="0"/>
    <n v="24"/>
    <n v="3"/>
    <s v="Technical Degree"/>
    <n v="1"/>
    <n v="1928"/>
    <x v="1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x v="1"/>
    <x v="6"/>
    <n v="0"/>
    <n v="0"/>
    <n v="0"/>
  </r>
  <r>
    <n v="39"/>
    <x v="1"/>
    <s v="Non-Travel"/>
    <n v="1251"/>
    <x v="0"/>
    <n v="21"/>
    <n v="4"/>
    <s v="Life Sciences"/>
    <n v="1"/>
    <n v="1929"/>
    <x v="3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x v="1"/>
    <x v="11"/>
    <n v="2"/>
    <n v="1"/>
    <n v="2"/>
  </r>
  <r>
    <n v="27"/>
    <x v="1"/>
    <s v="Travel_Rarely"/>
    <n v="1354"/>
    <x v="1"/>
    <n v="2"/>
    <n v="4"/>
    <s v="Technical Degree"/>
    <n v="1"/>
    <n v="1931"/>
    <x v="0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x v="2"/>
    <x v="8"/>
    <n v="3"/>
    <n v="1"/>
    <n v="2"/>
  </r>
  <r>
    <n v="34"/>
    <x v="1"/>
    <s v="Travel_Frequently"/>
    <n v="735"/>
    <x v="1"/>
    <n v="22"/>
    <n v="4"/>
    <s v="Other"/>
    <n v="1"/>
    <n v="1932"/>
    <x v="1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x v="1"/>
    <x v="15"/>
    <n v="10"/>
    <n v="6"/>
    <n v="11"/>
  </r>
  <r>
    <n v="28"/>
    <x v="0"/>
    <s v="Travel_Rarely"/>
    <n v="1475"/>
    <x v="0"/>
    <n v="13"/>
    <n v="2"/>
    <s v="Marketing"/>
    <n v="1"/>
    <n v="1933"/>
    <x v="2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x v="1"/>
    <x v="4"/>
    <n v="0"/>
    <n v="2"/>
    <n v="2"/>
  </r>
  <r>
    <n v="47"/>
    <x v="1"/>
    <s v="Non-Travel"/>
    <n v="1169"/>
    <x v="1"/>
    <n v="14"/>
    <n v="4"/>
    <s v="Technical Degree"/>
    <n v="1"/>
    <n v="1934"/>
    <x v="1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x v="3"/>
    <x v="3"/>
    <n v="7"/>
    <n v="1"/>
    <n v="7"/>
  </r>
  <r>
    <n v="56"/>
    <x v="1"/>
    <s v="Travel_Rarely"/>
    <n v="1443"/>
    <x v="0"/>
    <n v="11"/>
    <n v="5"/>
    <s v="Marketing"/>
    <n v="1"/>
    <n v="1935"/>
    <x v="2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x v="1"/>
    <x v="2"/>
    <n v="0"/>
    <n v="0"/>
    <n v="0"/>
  </r>
  <r>
    <n v="39"/>
    <x v="1"/>
    <s v="Travel_Rarely"/>
    <n v="867"/>
    <x v="1"/>
    <n v="9"/>
    <n v="2"/>
    <s v="Medical"/>
    <n v="1"/>
    <n v="1936"/>
    <x v="3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x v="1"/>
    <x v="1"/>
    <n v="0"/>
    <n v="7"/>
    <n v="9"/>
  </r>
  <r>
    <n v="38"/>
    <x v="1"/>
    <s v="Travel_Frequently"/>
    <n v="1394"/>
    <x v="1"/>
    <n v="8"/>
    <n v="3"/>
    <s v="Medical"/>
    <n v="1"/>
    <n v="1937"/>
    <x v="2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x v="1"/>
    <x v="23"/>
    <n v="11"/>
    <n v="0"/>
    <n v="7"/>
  </r>
  <r>
    <n v="58"/>
    <x v="1"/>
    <s v="Travel_Rarely"/>
    <n v="605"/>
    <x v="0"/>
    <n v="21"/>
    <n v="3"/>
    <s v="Life Sciences"/>
    <n v="1"/>
    <n v="1938"/>
    <x v="2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x v="2"/>
    <x v="6"/>
    <n v="0"/>
    <n v="0"/>
    <n v="0"/>
  </r>
  <r>
    <n v="32"/>
    <x v="0"/>
    <s v="Travel_Frequently"/>
    <n v="238"/>
    <x v="1"/>
    <n v="5"/>
    <n v="2"/>
    <s v="Life Sciences"/>
    <n v="1"/>
    <n v="1939"/>
    <x v="3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x v="1"/>
    <x v="9"/>
    <n v="1"/>
    <n v="0"/>
    <n v="3"/>
  </r>
  <r>
    <n v="38"/>
    <x v="1"/>
    <s v="Travel_Rarely"/>
    <n v="1206"/>
    <x v="1"/>
    <n v="9"/>
    <n v="2"/>
    <s v="Life Sciences"/>
    <n v="1"/>
    <n v="1940"/>
    <x v="0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x v="3"/>
    <x v="8"/>
    <n v="2"/>
    <n v="0"/>
    <n v="3"/>
  </r>
  <r>
    <n v="49"/>
    <x v="1"/>
    <s v="Travel_Frequently"/>
    <n v="1064"/>
    <x v="1"/>
    <n v="2"/>
    <n v="1"/>
    <s v="Life Sciences"/>
    <n v="1"/>
    <n v="1941"/>
    <x v="0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x v="1"/>
    <x v="8"/>
    <n v="4"/>
    <n v="4"/>
    <n v="3"/>
  </r>
  <r>
    <n v="42"/>
    <x v="1"/>
    <s v="Travel_Rarely"/>
    <n v="419"/>
    <x v="0"/>
    <n v="12"/>
    <n v="4"/>
    <s v="Marketing"/>
    <n v="1"/>
    <n v="1943"/>
    <x v="0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x v="1"/>
    <x v="2"/>
    <n v="0"/>
    <n v="0"/>
    <n v="0"/>
  </r>
  <r>
    <n v="27"/>
    <x v="0"/>
    <s v="Travel_Frequently"/>
    <n v="1337"/>
    <x v="2"/>
    <n v="22"/>
    <n v="3"/>
    <s v="Human Resources"/>
    <n v="1"/>
    <n v="1944"/>
    <x v="3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x v="1"/>
    <x v="6"/>
    <n v="0"/>
    <n v="0"/>
    <n v="0"/>
  </r>
  <r>
    <n v="35"/>
    <x v="1"/>
    <s v="Travel_Rarely"/>
    <n v="682"/>
    <x v="0"/>
    <n v="18"/>
    <n v="4"/>
    <s v="Medical"/>
    <n v="1"/>
    <n v="1945"/>
    <x v="0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x v="0"/>
    <x v="8"/>
    <n v="3"/>
    <n v="0"/>
    <n v="4"/>
  </r>
  <r>
    <n v="28"/>
    <x v="1"/>
    <s v="Non-Travel"/>
    <n v="1103"/>
    <x v="1"/>
    <n v="16"/>
    <n v="3"/>
    <s v="Medical"/>
    <n v="1"/>
    <n v="1947"/>
    <x v="1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x v="2"/>
    <x v="8"/>
    <n v="3"/>
    <n v="1"/>
    <n v="4"/>
  </r>
  <r>
    <n v="31"/>
    <x v="1"/>
    <s v="Non-Travel"/>
    <n v="976"/>
    <x v="1"/>
    <n v="3"/>
    <n v="2"/>
    <s v="Medical"/>
    <n v="1"/>
    <n v="1948"/>
    <x v="1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x v="3"/>
    <x v="9"/>
    <n v="2"/>
    <n v="2"/>
    <n v="3"/>
  </r>
  <r>
    <n v="36"/>
    <x v="1"/>
    <s v="Non-Travel"/>
    <n v="1351"/>
    <x v="1"/>
    <n v="9"/>
    <n v="4"/>
    <s v="Life Sciences"/>
    <n v="1"/>
    <n v="1949"/>
    <x v="3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x v="1"/>
    <x v="8"/>
    <n v="4"/>
    <n v="0"/>
    <n v="2"/>
  </r>
  <r>
    <n v="34"/>
    <x v="1"/>
    <s v="Travel_Rarely"/>
    <n v="937"/>
    <x v="0"/>
    <n v="1"/>
    <n v="3"/>
    <s v="Marketing"/>
    <n v="1"/>
    <n v="1950"/>
    <x v="3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x v="2"/>
    <x v="13"/>
    <n v="8"/>
    <n v="2"/>
    <n v="1"/>
  </r>
  <r>
    <n v="34"/>
    <x v="1"/>
    <s v="Travel_Rarely"/>
    <n v="1239"/>
    <x v="0"/>
    <n v="13"/>
    <n v="4"/>
    <s v="Medical"/>
    <n v="1"/>
    <n v="1951"/>
    <x v="2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x v="2"/>
    <x v="3"/>
    <n v="7"/>
    <n v="1"/>
    <n v="1"/>
  </r>
  <r>
    <n v="26"/>
    <x v="1"/>
    <s v="Travel_Rarely"/>
    <n v="157"/>
    <x v="1"/>
    <n v="1"/>
    <n v="3"/>
    <s v="Medical"/>
    <n v="1"/>
    <n v="1952"/>
    <x v="1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x v="2"/>
    <x v="5"/>
    <n v="7"/>
    <n v="7"/>
    <n v="6"/>
  </r>
  <r>
    <n v="29"/>
    <x v="1"/>
    <s v="Travel_Rarely"/>
    <n v="136"/>
    <x v="1"/>
    <n v="1"/>
    <n v="3"/>
    <s v="Life Sciences"/>
    <n v="1"/>
    <n v="1954"/>
    <x v="3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x v="2"/>
    <x v="8"/>
    <n v="3"/>
    <n v="0"/>
    <n v="2"/>
  </r>
  <r>
    <n v="32"/>
    <x v="1"/>
    <s v="Non-Travel"/>
    <n v="1146"/>
    <x v="1"/>
    <n v="15"/>
    <n v="4"/>
    <s v="Medical"/>
    <n v="1"/>
    <n v="1955"/>
    <x v="1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x v="1"/>
    <x v="8"/>
    <n v="1"/>
    <n v="1"/>
    <n v="2"/>
  </r>
  <r>
    <n v="31"/>
    <x v="1"/>
    <s v="Travel_Frequently"/>
    <n v="1125"/>
    <x v="1"/>
    <n v="1"/>
    <n v="3"/>
    <s v="Life Sciences"/>
    <n v="1"/>
    <n v="1956"/>
    <x v="2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x v="1"/>
    <x v="1"/>
    <n v="8"/>
    <n v="8"/>
    <n v="7"/>
  </r>
  <r>
    <n v="28"/>
    <x v="0"/>
    <s v="Travel_Rarely"/>
    <n v="1404"/>
    <x v="1"/>
    <n v="17"/>
    <n v="3"/>
    <s v="Technical Degree"/>
    <n v="1"/>
    <n v="1960"/>
    <x v="1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x v="2"/>
    <x v="9"/>
    <n v="1"/>
    <n v="0"/>
    <n v="3"/>
  </r>
  <r>
    <n v="38"/>
    <x v="1"/>
    <s v="Travel_Rarely"/>
    <n v="1404"/>
    <x v="0"/>
    <n v="1"/>
    <n v="3"/>
    <s v="Life Sciences"/>
    <n v="1"/>
    <n v="1961"/>
    <x v="3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x v="2"/>
    <x v="6"/>
    <n v="0"/>
    <n v="0"/>
    <n v="0"/>
  </r>
  <r>
    <n v="35"/>
    <x v="1"/>
    <s v="Travel_Rarely"/>
    <n v="1224"/>
    <x v="0"/>
    <n v="7"/>
    <n v="4"/>
    <s v="Life Sciences"/>
    <n v="1"/>
    <n v="1962"/>
    <x v="1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x v="1"/>
    <x v="1"/>
    <n v="8"/>
    <n v="0"/>
    <n v="9"/>
  </r>
  <r>
    <n v="27"/>
    <x v="1"/>
    <s v="Travel_Rarely"/>
    <n v="954"/>
    <x v="0"/>
    <n v="9"/>
    <n v="3"/>
    <s v="Marketing"/>
    <n v="1"/>
    <n v="1965"/>
    <x v="2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x v="1"/>
    <x v="5"/>
    <n v="7"/>
    <n v="0"/>
    <n v="7"/>
  </r>
  <r>
    <n v="32"/>
    <x v="1"/>
    <s v="Travel_Rarely"/>
    <n v="1373"/>
    <x v="1"/>
    <n v="5"/>
    <n v="4"/>
    <s v="Life Sciences"/>
    <n v="1"/>
    <n v="1966"/>
    <x v="2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x v="1"/>
    <x v="6"/>
    <n v="0"/>
    <n v="0"/>
    <n v="0"/>
  </r>
  <r>
    <n v="31"/>
    <x v="0"/>
    <s v="Travel_Frequently"/>
    <n v="754"/>
    <x v="0"/>
    <n v="26"/>
    <n v="4"/>
    <s v="Marketing"/>
    <n v="1"/>
    <n v="1967"/>
    <x v="3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x v="1"/>
    <x v="1"/>
    <n v="7"/>
    <n v="0"/>
    <n v="8"/>
  </r>
  <r>
    <n v="53"/>
    <x v="0"/>
    <s v="Travel_Rarely"/>
    <n v="1168"/>
    <x v="0"/>
    <n v="24"/>
    <n v="4"/>
    <s v="Life Sciences"/>
    <n v="1"/>
    <n v="1968"/>
    <x v="3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x v="2"/>
    <x v="4"/>
    <n v="2"/>
    <n v="2"/>
    <n v="2"/>
  </r>
  <r>
    <n v="54"/>
    <x v="1"/>
    <s v="Travel_Rarely"/>
    <n v="155"/>
    <x v="1"/>
    <n v="9"/>
    <n v="2"/>
    <s v="Life Sciences"/>
    <n v="1"/>
    <n v="1969"/>
    <x v="3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x v="2"/>
    <x v="9"/>
    <n v="3"/>
    <n v="2"/>
    <n v="3"/>
  </r>
  <r>
    <n v="33"/>
    <x v="1"/>
    <s v="Travel_Frequently"/>
    <n v="1303"/>
    <x v="1"/>
    <n v="7"/>
    <n v="2"/>
    <s v="Life Sciences"/>
    <n v="1"/>
    <n v="1970"/>
    <x v="2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x v="1"/>
    <x v="7"/>
    <n v="7"/>
    <n v="2"/>
    <n v="8"/>
  </r>
  <r>
    <n v="43"/>
    <x v="1"/>
    <s v="Travel_Rarely"/>
    <n v="574"/>
    <x v="1"/>
    <n v="11"/>
    <n v="3"/>
    <s v="Life Sciences"/>
    <n v="1"/>
    <n v="1971"/>
    <x v="3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x v="1"/>
    <x v="1"/>
    <n v="9"/>
    <n v="0"/>
    <n v="9"/>
  </r>
  <r>
    <n v="38"/>
    <x v="1"/>
    <s v="Travel_Frequently"/>
    <n v="1444"/>
    <x v="2"/>
    <n v="1"/>
    <n v="4"/>
    <s v="Other"/>
    <n v="1"/>
    <n v="1972"/>
    <x v="2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x v="1"/>
    <x v="0"/>
    <n v="2"/>
    <n v="1"/>
    <n v="2"/>
  </r>
  <r>
    <n v="55"/>
    <x v="1"/>
    <s v="Travel_Rarely"/>
    <n v="189"/>
    <x v="2"/>
    <n v="26"/>
    <n v="4"/>
    <s v="Human Resources"/>
    <n v="1"/>
    <n v="1973"/>
    <x v="1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x v="1"/>
    <x v="1"/>
    <n v="9"/>
    <n v="1"/>
    <n v="4"/>
  </r>
  <r>
    <n v="31"/>
    <x v="1"/>
    <s v="Travel_Rarely"/>
    <n v="1276"/>
    <x v="1"/>
    <n v="2"/>
    <n v="1"/>
    <s v="Medical"/>
    <n v="1"/>
    <n v="1974"/>
    <x v="2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x v="1"/>
    <x v="6"/>
    <n v="0"/>
    <n v="0"/>
    <n v="0"/>
  </r>
  <r>
    <n v="39"/>
    <x v="1"/>
    <s v="Travel_Rarely"/>
    <n v="119"/>
    <x v="0"/>
    <n v="15"/>
    <n v="4"/>
    <s v="Marketing"/>
    <n v="1"/>
    <n v="1975"/>
    <x v="0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x v="1"/>
    <x v="23"/>
    <n v="8"/>
    <n v="11"/>
    <n v="10"/>
  </r>
  <r>
    <n v="42"/>
    <x v="1"/>
    <s v="Non-Travel"/>
    <n v="335"/>
    <x v="1"/>
    <n v="23"/>
    <n v="2"/>
    <s v="Life Sciences"/>
    <n v="1"/>
    <n v="1976"/>
    <x v="2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x v="1"/>
    <x v="23"/>
    <n v="9"/>
    <n v="3"/>
    <n v="7"/>
  </r>
  <r>
    <n v="31"/>
    <x v="1"/>
    <s v="Non-Travel"/>
    <n v="697"/>
    <x v="1"/>
    <n v="10"/>
    <n v="3"/>
    <s v="Medical"/>
    <n v="1"/>
    <n v="1979"/>
    <x v="1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x v="3"/>
    <x v="19"/>
    <n v="7"/>
    <n v="4"/>
    <n v="8"/>
  </r>
  <r>
    <n v="54"/>
    <x v="1"/>
    <s v="Travel_Rarely"/>
    <n v="157"/>
    <x v="1"/>
    <n v="10"/>
    <n v="3"/>
    <s v="Medical"/>
    <n v="1"/>
    <n v="1980"/>
    <x v="1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x v="1"/>
    <x v="8"/>
    <n v="2"/>
    <n v="1"/>
    <n v="4"/>
  </r>
  <r>
    <n v="24"/>
    <x v="1"/>
    <s v="Travel_Rarely"/>
    <n v="771"/>
    <x v="1"/>
    <n v="1"/>
    <n v="2"/>
    <s v="Life Sciences"/>
    <n v="1"/>
    <n v="1981"/>
    <x v="0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x v="2"/>
    <x v="9"/>
    <n v="3"/>
    <n v="1"/>
    <n v="2"/>
  </r>
  <r>
    <n v="23"/>
    <x v="1"/>
    <s v="Travel_Rarely"/>
    <n v="571"/>
    <x v="1"/>
    <n v="12"/>
    <n v="2"/>
    <s v="Other"/>
    <n v="1"/>
    <n v="1982"/>
    <x v="2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x v="3"/>
    <x v="8"/>
    <n v="2"/>
    <n v="1"/>
    <n v="4"/>
  </r>
  <r>
    <n v="40"/>
    <x v="1"/>
    <s v="Travel_Frequently"/>
    <n v="692"/>
    <x v="1"/>
    <n v="11"/>
    <n v="3"/>
    <s v="Technical Degree"/>
    <n v="1"/>
    <n v="1985"/>
    <x v="2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x v="3"/>
    <x v="1"/>
    <n v="9"/>
    <n v="9"/>
    <n v="4"/>
  </r>
  <r>
    <n v="40"/>
    <x v="1"/>
    <s v="Travel_Rarely"/>
    <n v="444"/>
    <x v="0"/>
    <n v="2"/>
    <n v="2"/>
    <s v="Marketing"/>
    <n v="1"/>
    <n v="1986"/>
    <x v="0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x v="1"/>
    <x v="19"/>
    <n v="8"/>
    <n v="5"/>
    <n v="10"/>
  </r>
  <r>
    <n v="25"/>
    <x v="1"/>
    <s v="Travel_Rarely"/>
    <n v="309"/>
    <x v="2"/>
    <n v="2"/>
    <n v="3"/>
    <s v="Human Resources"/>
    <n v="1"/>
    <n v="1987"/>
    <x v="1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x v="1"/>
    <x v="4"/>
    <n v="0"/>
    <n v="1"/>
    <n v="2"/>
  </r>
  <r>
    <n v="30"/>
    <x v="1"/>
    <s v="Travel_Rarely"/>
    <n v="911"/>
    <x v="1"/>
    <n v="1"/>
    <n v="2"/>
    <s v="Medical"/>
    <n v="1"/>
    <n v="1989"/>
    <x v="2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x v="2"/>
    <x v="12"/>
    <n v="8"/>
    <n v="1"/>
    <n v="7"/>
  </r>
  <r>
    <n v="25"/>
    <x v="1"/>
    <s v="Travel_Rarely"/>
    <n v="977"/>
    <x v="1"/>
    <n v="2"/>
    <n v="1"/>
    <s v="Other"/>
    <n v="1"/>
    <n v="1992"/>
    <x v="2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x v="2"/>
    <x v="4"/>
    <n v="2"/>
    <n v="0"/>
    <n v="2"/>
  </r>
  <r>
    <n v="47"/>
    <x v="1"/>
    <s v="Travel_Rarely"/>
    <n v="1180"/>
    <x v="1"/>
    <n v="25"/>
    <n v="3"/>
    <s v="Medical"/>
    <n v="1"/>
    <n v="1993"/>
    <x v="3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x v="1"/>
    <x v="18"/>
    <n v="14"/>
    <n v="12"/>
    <n v="11"/>
  </r>
  <r>
    <n v="33"/>
    <x v="1"/>
    <s v="Non-Travel"/>
    <n v="1313"/>
    <x v="1"/>
    <n v="1"/>
    <n v="2"/>
    <s v="Medical"/>
    <n v="1"/>
    <n v="1994"/>
    <x v="0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x v="2"/>
    <x v="6"/>
    <n v="1"/>
    <n v="0"/>
    <n v="0"/>
  </r>
  <r>
    <n v="38"/>
    <x v="1"/>
    <s v="Travel_Rarely"/>
    <n v="1321"/>
    <x v="0"/>
    <n v="1"/>
    <n v="4"/>
    <s v="Life Sciences"/>
    <n v="1"/>
    <n v="1995"/>
    <x v="2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x v="1"/>
    <x v="15"/>
    <n v="13"/>
    <n v="5"/>
    <n v="8"/>
  </r>
  <r>
    <n v="31"/>
    <x v="1"/>
    <s v="Travel_Rarely"/>
    <n v="1154"/>
    <x v="0"/>
    <n v="2"/>
    <n v="2"/>
    <s v="Life Sciences"/>
    <n v="1"/>
    <n v="1996"/>
    <x v="3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x v="1"/>
    <x v="4"/>
    <n v="2"/>
    <n v="1"/>
    <n v="2"/>
  </r>
  <r>
    <n v="38"/>
    <x v="1"/>
    <s v="Travel_Frequently"/>
    <n v="508"/>
    <x v="1"/>
    <n v="6"/>
    <n v="4"/>
    <s v="Life Sciences"/>
    <n v="1"/>
    <n v="1997"/>
    <x v="3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x v="1"/>
    <x v="3"/>
    <n v="3"/>
    <n v="7"/>
    <n v="7"/>
  </r>
  <r>
    <n v="42"/>
    <x v="1"/>
    <s v="Travel_Rarely"/>
    <n v="557"/>
    <x v="1"/>
    <n v="18"/>
    <n v="4"/>
    <s v="Life Sciences"/>
    <n v="1"/>
    <n v="1998"/>
    <x v="2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x v="2"/>
    <x v="9"/>
    <n v="3"/>
    <n v="1"/>
    <n v="2"/>
  </r>
  <r>
    <n v="41"/>
    <x v="1"/>
    <s v="Travel_Rarely"/>
    <n v="642"/>
    <x v="1"/>
    <n v="1"/>
    <n v="3"/>
    <s v="Life Sciences"/>
    <n v="1"/>
    <n v="1999"/>
    <x v="2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x v="1"/>
    <x v="8"/>
    <n v="3"/>
    <n v="1"/>
    <n v="0"/>
  </r>
  <r>
    <n v="47"/>
    <x v="1"/>
    <s v="Non-Travel"/>
    <n v="1162"/>
    <x v="1"/>
    <n v="1"/>
    <n v="1"/>
    <s v="Medical"/>
    <n v="1"/>
    <n v="2000"/>
    <x v="1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x v="0"/>
    <x v="20"/>
    <n v="8"/>
    <n v="5"/>
    <n v="12"/>
  </r>
  <r>
    <n v="35"/>
    <x v="1"/>
    <s v="Travel_Rarely"/>
    <n v="1490"/>
    <x v="1"/>
    <n v="11"/>
    <n v="4"/>
    <s v="Medical"/>
    <n v="1"/>
    <n v="2003"/>
    <x v="2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x v="1"/>
    <x v="4"/>
    <n v="2"/>
    <n v="2"/>
    <n v="2"/>
  </r>
  <r>
    <n v="22"/>
    <x v="1"/>
    <s v="Travel_Rarely"/>
    <n v="581"/>
    <x v="1"/>
    <n v="1"/>
    <n v="2"/>
    <s v="Life Sciences"/>
    <n v="1"/>
    <n v="2007"/>
    <x v="2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x v="3"/>
    <x v="11"/>
    <n v="2"/>
    <n v="1"/>
    <n v="2"/>
  </r>
  <r>
    <n v="35"/>
    <x v="1"/>
    <s v="Travel_Rarely"/>
    <n v="1395"/>
    <x v="1"/>
    <n v="9"/>
    <n v="4"/>
    <s v="Medical"/>
    <n v="1"/>
    <n v="2008"/>
    <x v="0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x v="1"/>
    <x v="1"/>
    <n v="7"/>
    <n v="0"/>
    <n v="8"/>
  </r>
  <r>
    <n v="33"/>
    <x v="1"/>
    <s v="Travel_Rarely"/>
    <n v="501"/>
    <x v="1"/>
    <n v="15"/>
    <n v="2"/>
    <s v="Medical"/>
    <n v="1"/>
    <n v="2009"/>
    <x v="0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x v="1"/>
    <x v="7"/>
    <n v="7"/>
    <n v="8"/>
    <n v="1"/>
  </r>
  <r>
    <n v="32"/>
    <x v="1"/>
    <s v="Travel_Rarely"/>
    <n v="267"/>
    <x v="1"/>
    <n v="29"/>
    <n v="4"/>
    <s v="Life Sciences"/>
    <n v="1"/>
    <n v="2010"/>
    <x v="1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x v="1"/>
    <x v="0"/>
    <n v="2"/>
    <n v="4"/>
    <n v="1"/>
  </r>
  <r>
    <n v="40"/>
    <x v="1"/>
    <s v="Travel_Rarely"/>
    <n v="543"/>
    <x v="1"/>
    <n v="1"/>
    <n v="4"/>
    <s v="Life Sciences"/>
    <n v="1"/>
    <n v="2012"/>
    <x v="3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x v="2"/>
    <x v="6"/>
    <n v="0"/>
    <n v="0"/>
    <n v="0"/>
  </r>
  <r>
    <n v="32"/>
    <x v="1"/>
    <s v="Travel_Rarely"/>
    <n v="234"/>
    <x v="0"/>
    <n v="1"/>
    <n v="4"/>
    <s v="Medical"/>
    <n v="1"/>
    <n v="2013"/>
    <x v="0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x v="1"/>
    <x v="4"/>
    <n v="2"/>
    <n v="2"/>
    <n v="2"/>
  </r>
  <r>
    <n v="39"/>
    <x v="1"/>
    <s v="Travel_Rarely"/>
    <n v="116"/>
    <x v="1"/>
    <n v="24"/>
    <n v="1"/>
    <s v="Life Sciences"/>
    <n v="1"/>
    <n v="2014"/>
    <x v="3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x v="1"/>
    <x v="5"/>
    <n v="7"/>
    <n v="1"/>
    <n v="7"/>
  </r>
  <r>
    <n v="38"/>
    <x v="1"/>
    <s v="Travel_Rarely"/>
    <n v="201"/>
    <x v="1"/>
    <n v="10"/>
    <n v="3"/>
    <s v="Medical"/>
    <n v="1"/>
    <n v="2015"/>
    <x v="0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x v="1"/>
    <x v="29"/>
    <n v="16"/>
    <n v="1"/>
    <n v="11"/>
  </r>
  <r>
    <n v="32"/>
    <x v="1"/>
    <s v="Travel_Rarely"/>
    <n v="801"/>
    <x v="0"/>
    <n v="1"/>
    <n v="4"/>
    <s v="Marketing"/>
    <n v="1"/>
    <n v="2016"/>
    <x v="1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x v="1"/>
    <x v="13"/>
    <n v="10"/>
    <n v="5"/>
    <n v="7"/>
  </r>
  <r>
    <n v="37"/>
    <x v="1"/>
    <s v="Travel_Rarely"/>
    <n v="161"/>
    <x v="1"/>
    <n v="10"/>
    <n v="3"/>
    <s v="Life Sciences"/>
    <n v="1"/>
    <n v="2017"/>
    <x v="1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x v="1"/>
    <x v="22"/>
    <n v="11"/>
    <n v="6"/>
    <n v="8"/>
  </r>
  <r>
    <n v="25"/>
    <x v="1"/>
    <s v="Travel_Rarely"/>
    <n v="1382"/>
    <x v="0"/>
    <n v="8"/>
    <n v="2"/>
    <s v="Other"/>
    <n v="1"/>
    <n v="2018"/>
    <x v="3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x v="2"/>
    <x v="8"/>
    <n v="3"/>
    <n v="0"/>
    <n v="4"/>
  </r>
  <r>
    <n v="52"/>
    <x v="1"/>
    <s v="Non-Travel"/>
    <n v="585"/>
    <x v="0"/>
    <n v="29"/>
    <n v="4"/>
    <s v="Life Sciences"/>
    <n v="1"/>
    <n v="2019"/>
    <x v="3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x v="2"/>
    <x v="7"/>
    <n v="8"/>
    <n v="0"/>
    <n v="0"/>
  </r>
  <r>
    <n v="44"/>
    <x v="1"/>
    <s v="Travel_Rarely"/>
    <n v="1037"/>
    <x v="1"/>
    <n v="1"/>
    <n v="3"/>
    <s v="Medical"/>
    <n v="1"/>
    <n v="2020"/>
    <x v="0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x v="1"/>
    <x v="9"/>
    <n v="3"/>
    <n v="1"/>
    <n v="2"/>
  </r>
  <r>
    <n v="21"/>
    <x v="1"/>
    <s v="Travel_Rarely"/>
    <n v="501"/>
    <x v="0"/>
    <n v="5"/>
    <n v="1"/>
    <s v="Medical"/>
    <n v="1"/>
    <n v="2021"/>
    <x v="1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x v="1"/>
    <x v="4"/>
    <n v="2"/>
    <n v="1"/>
    <n v="2"/>
  </r>
  <r>
    <n v="39"/>
    <x v="1"/>
    <s v="Non-Travel"/>
    <n v="105"/>
    <x v="1"/>
    <n v="9"/>
    <n v="3"/>
    <s v="Life Sciences"/>
    <n v="1"/>
    <n v="2022"/>
    <x v="2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x v="2"/>
    <x v="0"/>
    <n v="0"/>
    <n v="1"/>
    <n v="3"/>
  </r>
  <r>
    <n v="23"/>
    <x v="0"/>
    <s v="Travel_Frequently"/>
    <n v="638"/>
    <x v="0"/>
    <n v="9"/>
    <n v="3"/>
    <s v="Marketing"/>
    <n v="1"/>
    <n v="2023"/>
    <x v="2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x v="2"/>
    <x v="6"/>
    <n v="0"/>
    <n v="1"/>
    <n v="0"/>
  </r>
  <r>
    <n v="36"/>
    <x v="1"/>
    <s v="Travel_Rarely"/>
    <n v="557"/>
    <x v="0"/>
    <n v="3"/>
    <n v="3"/>
    <s v="Medical"/>
    <n v="1"/>
    <n v="2024"/>
    <x v="3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x v="1"/>
    <x v="7"/>
    <n v="7"/>
    <n v="3"/>
    <n v="4"/>
  </r>
  <r>
    <n v="36"/>
    <x v="1"/>
    <s v="Travel_Frequently"/>
    <n v="688"/>
    <x v="1"/>
    <n v="4"/>
    <n v="2"/>
    <s v="Life Sciences"/>
    <n v="1"/>
    <n v="2025"/>
    <x v="2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x v="1"/>
    <x v="9"/>
    <n v="2"/>
    <n v="0"/>
    <n v="2"/>
  </r>
  <r>
    <n v="56"/>
    <x v="1"/>
    <s v="Non-Travel"/>
    <n v="667"/>
    <x v="1"/>
    <n v="1"/>
    <n v="4"/>
    <s v="Life Sciences"/>
    <n v="1"/>
    <n v="2026"/>
    <x v="1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x v="2"/>
    <x v="20"/>
    <n v="12"/>
    <n v="1"/>
    <n v="9"/>
  </r>
  <r>
    <n v="29"/>
    <x v="0"/>
    <s v="Travel_Rarely"/>
    <n v="1092"/>
    <x v="1"/>
    <n v="1"/>
    <n v="4"/>
    <s v="Medical"/>
    <n v="1"/>
    <n v="2027"/>
    <x v="3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x v="3"/>
    <x v="4"/>
    <n v="2"/>
    <n v="2"/>
    <n v="2"/>
  </r>
  <r>
    <n v="42"/>
    <x v="1"/>
    <s v="Travel_Rarely"/>
    <n v="300"/>
    <x v="1"/>
    <n v="2"/>
    <n v="3"/>
    <s v="Life Sciences"/>
    <n v="1"/>
    <n v="2031"/>
    <x v="3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x v="2"/>
    <x v="14"/>
    <n v="6"/>
    <n v="4"/>
    <n v="14"/>
  </r>
  <r>
    <n v="56"/>
    <x v="0"/>
    <s v="Travel_Rarely"/>
    <n v="310"/>
    <x v="1"/>
    <n v="7"/>
    <n v="2"/>
    <s v="Technical Degree"/>
    <n v="1"/>
    <n v="2032"/>
    <x v="2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x v="0"/>
    <x v="1"/>
    <n v="9"/>
    <n v="9"/>
    <n v="8"/>
  </r>
  <r>
    <n v="41"/>
    <x v="1"/>
    <s v="Travel_Rarely"/>
    <n v="582"/>
    <x v="1"/>
    <n v="28"/>
    <n v="4"/>
    <s v="Life Sciences"/>
    <n v="1"/>
    <n v="2034"/>
    <x v="3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x v="1"/>
    <x v="23"/>
    <n v="7"/>
    <n v="0"/>
    <n v="10"/>
  </r>
  <r>
    <n v="34"/>
    <x v="1"/>
    <s v="Travel_Rarely"/>
    <n v="704"/>
    <x v="0"/>
    <n v="28"/>
    <n v="3"/>
    <s v="Marketing"/>
    <n v="1"/>
    <n v="2035"/>
    <x v="2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x v="1"/>
    <x v="3"/>
    <n v="7"/>
    <n v="1"/>
    <n v="7"/>
  </r>
  <r>
    <n v="36"/>
    <x v="1"/>
    <s v="Non-Travel"/>
    <n v="301"/>
    <x v="0"/>
    <n v="15"/>
    <n v="4"/>
    <s v="Marketing"/>
    <n v="1"/>
    <n v="2036"/>
    <x v="2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x v="2"/>
    <x v="15"/>
    <n v="12"/>
    <n v="11"/>
    <n v="11"/>
  </r>
  <r>
    <n v="41"/>
    <x v="1"/>
    <s v="Travel_Rarely"/>
    <n v="930"/>
    <x v="0"/>
    <n v="3"/>
    <n v="3"/>
    <s v="Life Sciences"/>
    <n v="1"/>
    <n v="2037"/>
    <x v="1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x v="1"/>
    <x v="8"/>
    <n v="4"/>
    <n v="0"/>
    <n v="4"/>
  </r>
  <r>
    <n v="32"/>
    <x v="1"/>
    <s v="Travel_Rarely"/>
    <n v="529"/>
    <x v="1"/>
    <n v="2"/>
    <n v="3"/>
    <s v="Technical Degree"/>
    <n v="1"/>
    <n v="2038"/>
    <x v="2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x v="1"/>
    <x v="9"/>
    <n v="2"/>
    <n v="1"/>
    <n v="2"/>
  </r>
  <r>
    <n v="35"/>
    <x v="1"/>
    <s v="Travel_Rarely"/>
    <n v="1146"/>
    <x v="2"/>
    <n v="26"/>
    <n v="4"/>
    <s v="Life Sciences"/>
    <n v="1"/>
    <n v="2040"/>
    <x v="1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x v="1"/>
    <x v="7"/>
    <n v="0"/>
    <n v="1"/>
    <n v="7"/>
  </r>
  <r>
    <n v="38"/>
    <x v="1"/>
    <s v="Travel_Rarely"/>
    <n v="345"/>
    <x v="0"/>
    <n v="10"/>
    <n v="2"/>
    <s v="Life Sciences"/>
    <n v="1"/>
    <n v="2041"/>
    <x v="3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x v="1"/>
    <x v="1"/>
    <n v="7"/>
    <n v="1"/>
    <n v="9"/>
  </r>
  <r>
    <n v="50"/>
    <x v="0"/>
    <s v="Travel_Frequently"/>
    <n v="878"/>
    <x v="0"/>
    <n v="1"/>
    <n v="4"/>
    <s v="Life Sciences"/>
    <n v="1"/>
    <n v="2044"/>
    <x v="0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x v="1"/>
    <x v="0"/>
    <n v="3"/>
    <n v="0"/>
    <n v="1"/>
  </r>
  <r>
    <n v="36"/>
    <x v="1"/>
    <s v="Travel_Rarely"/>
    <n v="1120"/>
    <x v="0"/>
    <n v="11"/>
    <n v="4"/>
    <s v="Marketing"/>
    <n v="1"/>
    <n v="2045"/>
    <x v="0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x v="2"/>
    <x v="0"/>
    <n v="3"/>
    <n v="0"/>
    <n v="0"/>
  </r>
  <r>
    <n v="45"/>
    <x v="1"/>
    <s v="Travel_Rarely"/>
    <n v="374"/>
    <x v="0"/>
    <n v="20"/>
    <n v="3"/>
    <s v="Life Sciences"/>
    <n v="1"/>
    <n v="2046"/>
    <x v="2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x v="1"/>
    <x v="8"/>
    <n v="3"/>
    <n v="0"/>
    <n v="1"/>
  </r>
  <r>
    <n v="40"/>
    <x v="1"/>
    <s v="Travel_Rarely"/>
    <n v="1322"/>
    <x v="1"/>
    <n v="2"/>
    <n v="4"/>
    <s v="Life Sciences"/>
    <n v="1"/>
    <n v="2048"/>
    <x v="1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x v="1"/>
    <x v="4"/>
    <n v="2"/>
    <n v="2"/>
    <n v="2"/>
  </r>
  <r>
    <n v="35"/>
    <x v="1"/>
    <s v="Travel_Frequently"/>
    <n v="1199"/>
    <x v="1"/>
    <n v="18"/>
    <n v="4"/>
    <s v="Life Sciences"/>
    <n v="1"/>
    <n v="2049"/>
    <x v="1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x v="3"/>
    <x v="1"/>
    <n v="2"/>
    <n v="0"/>
    <n v="2"/>
  </r>
  <r>
    <n v="40"/>
    <x v="1"/>
    <s v="Travel_Rarely"/>
    <n v="1194"/>
    <x v="1"/>
    <n v="2"/>
    <n v="4"/>
    <s v="Medical"/>
    <n v="1"/>
    <n v="2051"/>
    <x v="1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x v="1"/>
    <x v="8"/>
    <n v="3"/>
    <n v="0"/>
    <n v="2"/>
  </r>
  <r>
    <n v="35"/>
    <x v="1"/>
    <s v="Travel_Rarely"/>
    <n v="287"/>
    <x v="1"/>
    <n v="1"/>
    <n v="4"/>
    <s v="Life Sciences"/>
    <n v="1"/>
    <n v="2052"/>
    <x v="1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x v="1"/>
    <x v="9"/>
    <n v="3"/>
    <n v="1"/>
    <n v="1"/>
  </r>
  <r>
    <n v="29"/>
    <x v="1"/>
    <s v="Travel_Rarely"/>
    <n v="1378"/>
    <x v="1"/>
    <n v="13"/>
    <n v="2"/>
    <s v="Other"/>
    <n v="1"/>
    <n v="2053"/>
    <x v="2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x v="1"/>
    <x v="9"/>
    <n v="3"/>
    <n v="0"/>
    <n v="3"/>
  </r>
  <r>
    <n v="29"/>
    <x v="1"/>
    <s v="Travel_Rarely"/>
    <n v="468"/>
    <x v="1"/>
    <n v="28"/>
    <n v="4"/>
    <s v="Medical"/>
    <n v="1"/>
    <n v="2054"/>
    <x v="2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x v="0"/>
    <x v="8"/>
    <n v="4"/>
    <n v="0"/>
    <n v="4"/>
  </r>
  <r>
    <n v="50"/>
    <x v="0"/>
    <s v="Travel_Rarely"/>
    <n v="410"/>
    <x v="0"/>
    <n v="28"/>
    <n v="3"/>
    <s v="Marketing"/>
    <n v="1"/>
    <n v="2055"/>
    <x v="2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x v="1"/>
    <x v="11"/>
    <n v="2"/>
    <n v="2"/>
    <n v="0"/>
  </r>
  <r>
    <n v="39"/>
    <x v="1"/>
    <s v="Travel_Rarely"/>
    <n v="722"/>
    <x v="0"/>
    <n v="24"/>
    <n v="1"/>
    <s v="Marketing"/>
    <n v="1"/>
    <n v="2056"/>
    <x v="0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x v="2"/>
    <x v="23"/>
    <n v="9"/>
    <n v="9"/>
    <n v="6"/>
  </r>
  <r>
    <n v="31"/>
    <x v="1"/>
    <s v="Non-Travel"/>
    <n v="325"/>
    <x v="1"/>
    <n v="5"/>
    <n v="3"/>
    <s v="Medical"/>
    <n v="1"/>
    <n v="2057"/>
    <x v="0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x v="1"/>
    <x v="7"/>
    <n v="4"/>
    <n v="1"/>
    <n v="7"/>
  </r>
  <r>
    <n v="26"/>
    <x v="1"/>
    <s v="Travel_Rarely"/>
    <n v="1167"/>
    <x v="0"/>
    <n v="5"/>
    <n v="3"/>
    <s v="Other"/>
    <n v="1"/>
    <n v="2060"/>
    <x v="2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x v="1"/>
    <x v="9"/>
    <n v="2"/>
    <n v="0"/>
    <n v="0"/>
  </r>
  <r>
    <n v="36"/>
    <x v="1"/>
    <s v="Travel_Frequently"/>
    <n v="884"/>
    <x v="1"/>
    <n v="23"/>
    <n v="2"/>
    <s v="Medical"/>
    <n v="1"/>
    <n v="2061"/>
    <x v="1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x v="1"/>
    <x v="8"/>
    <n v="2"/>
    <n v="0"/>
    <n v="3"/>
  </r>
  <r>
    <n v="39"/>
    <x v="1"/>
    <s v="Travel_Rarely"/>
    <n v="613"/>
    <x v="1"/>
    <n v="6"/>
    <n v="1"/>
    <s v="Medical"/>
    <n v="1"/>
    <n v="2062"/>
    <x v="2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x v="1"/>
    <x v="5"/>
    <n v="7"/>
    <n v="1"/>
    <n v="7"/>
  </r>
  <r>
    <n v="27"/>
    <x v="1"/>
    <s v="Travel_Rarely"/>
    <n v="155"/>
    <x v="1"/>
    <n v="4"/>
    <n v="3"/>
    <s v="Life Sciences"/>
    <n v="1"/>
    <n v="2064"/>
    <x v="0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x v="1"/>
    <x v="0"/>
    <n v="2"/>
    <n v="0"/>
    <n v="3"/>
  </r>
  <r>
    <n v="49"/>
    <x v="1"/>
    <s v="Travel_Frequently"/>
    <n v="1023"/>
    <x v="0"/>
    <n v="2"/>
    <n v="3"/>
    <s v="Medical"/>
    <n v="1"/>
    <n v="2065"/>
    <x v="2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x v="2"/>
    <x v="7"/>
    <n v="6"/>
    <n v="0"/>
    <n v="8"/>
  </r>
  <r>
    <n v="34"/>
    <x v="1"/>
    <s v="Travel_Rarely"/>
    <n v="628"/>
    <x v="1"/>
    <n v="8"/>
    <n v="3"/>
    <s v="Medical"/>
    <n v="1"/>
    <n v="2068"/>
    <x v="0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x v="3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BA409-0C78-754B-9F57-64FFAB61E79B}" name="Tenure &amp; Attrition Analys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s At Company">
  <location ref="A22:D61" firstHeaderRow="1" firstDataRow="2" firstDataCol="1"/>
  <pivotFields count="35">
    <pivotField showAll="0"/>
    <pivotField axis="axisCol" showAll="0">
      <items count="3">
        <item n="Stayed" x="1"/>
        <item n="Qui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91BEA-4C7B-C145-83B5-5D0F7CD79470}" name="Compensation &amp; Attrition Analys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Job Roles">
  <location ref="A9:D20" firstHeaderRow="1" firstDataRow="2" firstDataCol="1"/>
  <pivotFields count="35">
    <pivotField showAll="0"/>
    <pivotField axis="axisCol" showAll="0">
      <items count="3">
        <item n="Stayed" x="1"/>
        <item n="Quit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6"/>
        <item x="0"/>
        <item x="1"/>
        <item x="7"/>
        <item x="3"/>
        <item x="5"/>
        <item x="2"/>
        <item x="8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5"/>
    </i>
    <i>
      <x v="3"/>
    </i>
    <i>
      <x v="8"/>
    </i>
    <i>
      <x v="4"/>
    </i>
    <i>
      <x v="1"/>
    </i>
    <i>
      <x v="7"/>
    </i>
    <i>
      <x v="6"/>
    </i>
    <i>
      <x v="2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MonthlyIncome" fld="18" subtotal="average" baseField="0" baseItem="0" numFmtId="164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94ADE-8F35-6F4A-8566-97F95424FAF2}" name="Overtime &amp; Attrition Analys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Overtime">
  <location ref="G25:J29" firstHeaderRow="1" firstDataRow="2" firstDataCol="1"/>
  <pivotFields count="35">
    <pivotField showAll="0"/>
    <pivotField axis="axisCol" showAll="0">
      <items count="3">
        <item n="Stayed" x="1"/>
        <item n="Qui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 overtime" x="1"/>
        <item n="Overtime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6DFFC-052C-6C45-AC4E-CB2496439C76}" name="Work-Life Balance &amp; Attrition Analys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Work Life Balance">
  <location ref="G17:J23" firstHeaderRow="1" firstDataRow="2" firstDataCol="1"/>
  <pivotFields count="35">
    <pivotField showAll="0"/>
    <pivotField axis="axisCol" showAll="0">
      <items count="3">
        <item n="Stayed" x="1"/>
        <item n="Qui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3500D-BC17-FA47-84F6-D988683B2A55}" name="Department Attrition Analys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1:D6" firstHeaderRow="1" firstDataRow="2" firstDataCol="1"/>
  <pivotFields count="35">
    <pivotField showAll="0"/>
    <pivotField axis="axisCol" showAll="0">
      <items count="3">
        <item n="Stayed" x="1"/>
        <item n="Quit" x="0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AEED0-7857-E649-AF67-3277BE1B6510}" name="Environment Satisfaction &amp; Attrition Analys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nvironment satisfaction">
  <location ref="G9:J15" firstHeaderRow="1" firstDataRow="2" firstDataCol="1"/>
  <pivotFields count="35">
    <pivotField showAll="0"/>
    <pivotField axis="axisCol" showAll="0">
      <items count="3">
        <item n="Stayed" x="1"/>
        <item n="Qui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C1A02-EEEB-6549-93F0-2BA343134FBA}" name="Job Satisfaction &amp; Attrition Analys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Job satisfaction">
  <location ref="G1:J7" firstHeaderRow="1" firstDataRow="2" firstDataCol="1"/>
  <pivotFields count="35">
    <pivotField showAll="0"/>
    <pivotField axis="axisCol" showAll="0">
      <items count="3">
        <item n="Stayed" x="1"/>
        <item n="Qui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8E940-BE80-4747-B4C0-1C4A98D51109}" name="Table2" displayName="Table2" ref="A1:AI1471" totalsRowShown="0">
  <autoFilter ref="A1:AI1471" xr:uid="{29C8E940-BE80-4747-B4C0-1C4A98D51109}"/>
  <tableColumns count="35">
    <tableColumn id="1" xr3:uid="{71EF517C-D3F3-764C-B5BA-790FC85D3207}" name="Age"/>
    <tableColumn id="2" xr3:uid="{17B26E51-996D-AE4E-9225-0EF7BB5EBE7A}" name="Attrition"/>
    <tableColumn id="3" xr3:uid="{A7AADDE8-6188-BC4B-A122-671219C09422}" name="BusinessTravel"/>
    <tableColumn id="4" xr3:uid="{7F3F1F1D-2F7C-1A44-AC67-69B091142A50}" name="DailyRate"/>
    <tableColumn id="5" xr3:uid="{8C72E9C9-FF9B-3040-BC59-C10EFC79FD6A}" name="Department"/>
    <tableColumn id="6" xr3:uid="{8664E540-C7F8-4A4D-9753-A9FF9CBA4783}" name="DistanceFromHome"/>
    <tableColumn id="7" xr3:uid="{02E10881-8CE2-214F-8947-B1348D11F71F}" name="Education"/>
    <tableColumn id="8" xr3:uid="{DBF03D94-0014-8B4E-8323-DBF13214077E}" name="EducationField"/>
    <tableColumn id="9" xr3:uid="{E6B741F7-F798-654E-AB6A-A7F450D9ADD2}" name="EmployeeCount"/>
    <tableColumn id="10" xr3:uid="{E3A14C0A-AC4F-3642-823B-6BD95D2BDF9A}" name="EmployeeNumber"/>
    <tableColumn id="11" xr3:uid="{9794F365-32E3-4D43-9EA6-5954366458F6}" name="EnvironmentSatisfaction"/>
    <tableColumn id="12" xr3:uid="{D1FAEEB6-E805-9445-A6D0-536BE48ADFF0}" name="Gender"/>
    <tableColumn id="13" xr3:uid="{95054225-906B-2248-ACD7-6161C293173D}" name="HourlyRate"/>
    <tableColumn id="14" xr3:uid="{9AF2910B-591E-2042-98E1-A6DCBA6FD4E9}" name="JobInvolvement"/>
    <tableColumn id="15" xr3:uid="{44F52070-816A-024F-8679-CACD60ADDDD5}" name="JobLevel"/>
    <tableColumn id="16" xr3:uid="{7F708441-4E77-2D47-8F04-85B06B19BCEF}" name="JobRole"/>
    <tableColumn id="17" xr3:uid="{B6ABCCC0-AF60-C64A-9512-096D644E429A}" name="JobSatisfaction"/>
    <tableColumn id="18" xr3:uid="{CC5B963B-C335-1845-AA69-DE134D41DD97}" name="MaritalStatus"/>
    <tableColumn id="19" xr3:uid="{F7939CC5-71B9-344B-92E3-A071431D1C86}" name="MonthlyIncome"/>
    <tableColumn id="20" xr3:uid="{57EB52DB-39F0-004B-B6D5-43C846E23F76}" name="MonthlyRate"/>
    <tableColumn id="21" xr3:uid="{CF71136B-3520-7741-A672-ACF95B33D2EE}" name="NumCompaniesWorked"/>
    <tableColumn id="22" xr3:uid="{A26E898F-A25D-3A41-AA45-958E1091078E}" name="Over18"/>
    <tableColumn id="23" xr3:uid="{41115069-9BF8-C64B-BB5B-EFE6390F7EDD}" name="OverTime"/>
    <tableColumn id="24" xr3:uid="{2D2A1EB2-A59A-4A45-BC39-EF22F7562B50}" name="PercentSalaryHike"/>
    <tableColumn id="25" xr3:uid="{95D9E1D0-9C23-7446-AB6E-93F872D7EF15}" name="PerformanceRating"/>
    <tableColumn id="26" xr3:uid="{6D09755B-7C27-AB42-93CC-58898ADDE9CB}" name="RelationshipSatisfaction"/>
    <tableColumn id="27" xr3:uid="{A8D864B3-C7FE-B04A-A605-0D8CBE7DB9D3}" name="StandardHours"/>
    <tableColumn id="28" xr3:uid="{D2487B5B-86AC-F446-AB39-EBEFD96A939F}" name="StockOptionLevel"/>
    <tableColumn id="29" xr3:uid="{E66BA2F7-5F73-1643-BCD9-65A70391F3B9}" name="TotalWorkingYears"/>
    <tableColumn id="30" xr3:uid="{EDCB1BDD-8284-B948-9945-81CEAE5DCF14}" name="TrainingTimesLastYear"/>
    <tableColumn id="31" xr3:uid="{6441A84A-84D2-7144-81A6-5DB703B19725}" name="WorkLifeBalance"/>
    <tableColumn id="32" xr3:uid="{60B2EBE2-1555-164B-AE55-1CEC5BFD8C60}" name="YearsAtCompany"/>
    <tableColumn id="33" xr3:uid="{E08E2479-4ECF-1543-933E-806E3B005595}" name="YearsInCurrentRole"/>
    <tableColumn id="34" xr3:uid="{3B0425B4-42F5-DE45-A70E-D156B7C045AF}" name="YearsSinceLastPromotion"/>
    <tableColumn id="35" xr3:uid="{59F95F2B-495B-3C49-B32E-D0990BB60946}" name="YearsWithCurrManage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2203D-4449-5247-8C60-0C7E5D1CE3F2}" name="HR_Employee_Data" displayName="HR_Employee_Data" ref="A1:AK1471" totalsRowShown="0">
  <autoFilter ref="A1:AK1471" xr:uid="{0112203D-4449-5247-8C60-0C7E5D1CE3F2}"/>
  <tableColumns count="37">
    <tableColumn id="1" xr3:uid="{8CD454E4-B77C-E542-8987-AA367FF9189E}" name="Age"/>
    <tableColumn id="2" xr3:uid="{CD1572EE-68CB-1A4D-9A43-CCA0A40D856B}" name="Attrition"/>
    <tableColumn id="3" xr3:uid="{3F946A29-43D2-104F-BC94-6225CDA2A9B6}" name="BusinessTravel"/>
    <tableColumn id="4" xr3:uid="{FB2AA87A-BAD3-4544-918E-4AB87FCB77EB}" name="DailyRate"/>
    <tableColumn id="5" xr3:uid="{F3BFF0A8-0158-FE43-9D79-A7CD9DA8A3EE}" name="Department"/>
    <tableColumn id="6" xr3:uid="{3950B922-3E39-B74A-BC10-C0D28A579A15}" name="DistanceFromHome"/>
    <tableColumn id="7" xr3:uid="{885170B5-8B7D-9E4D-80AA-652CBA1CE301}" name="Education"/>
    <tableColumn id="8" xr3:uid="{5A19A080-783B-F243-8464-EDB0FC08F6F2}" name="EducationField"/>
    <tableColumn id="9" xr3:uid="{4705F31F-197C-E34F-8894-A4D54679CE39}" name="EmployeeNumber"/>
    <tableColumn id="10" xr3:uid="{1690C57C-313E-AE44-8ABC-BCAC08223BF4}" name="EnvironmentSatisfaction"/>
    <tableColumn id="11" xr3:uid="{ABB75F85-8511-9B4F-A166-97CA33844049}" name="Gender"/>
    <tableColumn id="12" xr3:uid="{621E28B3-28BB-C643-A384-C07CA0F46F31}" name="HourlyRate"/>
    <tableColumn id="13" xr3:uid="{4FC7CCFD-4978-DA4D-9362-8FA7B7EE6128}" name="JobInvolvement"/>
    <tableColumn id="14" xr3:uid="{7352D432-E4A6-224B-8A2A-A4BE18ADB054}" name="JobLevel"/>
    <tableColumn id="15" xr3:uid="{EEA65F83-0818-C449-856A-93ED58DDBBEA}" name="JobRole"/>
    <tableColumn id="16" xr3:uid="{13129739-DF6D-834E-B0CC-E17BF60D34B3}" name="JobSatisfaction"/>
    <tableColumn id="17" xr3:uid="{9FBA76DA-66A6-CF43-A291-B75D04F7F35C}" name="MaritalStatus"/>
    <tableColumn id="18" xr3:uid="{F9AD943D-C5F3-E243-BC19-4D9B68B9A567}" name="MonthlyIncome"/>
    <tableColumn id="19" xr3:uid="{163A7DB8-DAE0-6543-B5CF-84D7895C4A7E}" name="MonthlyRate"/>
    <tableColumn id="20" xr3:uid="{615CA460-D199-BA40-8A69-61EC43FCF908}" name="NumCompaniesWorked"/>
    <tableColumn id="21" xr3:uid="{5C9A4B58-CE23-314B-94FC-9EF7A3063335}" name="OverTime"/>
    <tableColumn id="22" xr3:uid="{A945AEE3-813C-0A48-B26F-7C1C67214423}" name="PercentSalaryHike"/>
    <tableColumn id="23" xr3:uid="{86526A04-3B2C-8D41-95BE-7ABA7A77B99E}" name="PerformanceRating"/>
    <tableColumn id="24" xr3:uid="{A01AE5C5-5279-254A-9ABF-6F448516933D}" name="RelationshipSatisfaction"/>
    <tableColumn id="25" xr3:uid="{BA17D1DE-B3D9-294F-8764-0561E5D0BEBA}" name="StockOptionLevel"/>
    <tableColumn id="26" xr3:uid="{6EC33407-6B6A-BD4A-9C00-6E325445D95D}" name="TotalWorkingYears"/>
    <tableColumn id="27" xr3:uid="{C0362015-7879-CB4E-BAB2-3CC81777A32A}" name="TrainingTimesLastYear"/>
    <tableColumn id="28" xr3:uid="{7CFAFD92-FD4C-3D46-AAC7-65A051D762BD}" name="WorkLifeBalance"/>
    <tableColumn id="29" xr3:uid="{6EDB2FAD-F821-8E4D-A5FB-D125050608D4}" name="YearsAtCompany"/>
    <tableColumn id="30" xr3:uid="{D30EA6B3-63AE-C34C-B899-5D852D9E4E64}" name="YearsInCurrentRole"/>
    <tableColumn id="31" xr3:uid="{AF436FF2-F2D2-164D-BD39-A3A914EC02B3}" name="YearsSinceLastPromotion"/>
    <tableColumn id="32" xr3:uid="{79596195-1534-3846-A74A-8056DB5EC5CE}" name="YearsWithCurrManager"/>
    <tableColumn id="33" xr3:uid="{448D2571-0CBB-5C43-9266-49A522D88125}" name="AttritionFlag"/>
    <tableColumn id="34" xr3:uid="{648F6574-8E23-5E41-B5AB-3D7C6E618E94}" name="OverTimeFlag"/>
    <tableColumn id="35" xr3:uid="{3513889B-F3DB-7B42-BAE3-0E09CCFF52BC}" name="AgeBand"/>
    <tableColumn id="36" xr3:uid="{1193E78F-D2E1-314B-90D1-4A0E910505A7}" name="MonthlyIncomeBand"/>
    <tableColumn id="37" xr3:uid="{6084D4A2-E020-7348-8F5D-CCC64CE773E4}" name="Tenure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3913-F6F8-AB45-AEBC-69C2B2FDA949}">
  <dimension ref="A1:AI1471"/>
  <sheetViews>
    <sheetView topLeftCell="A2" zoomScale="99" workbookViewId="0">
      <selection activeCell="G25" sqref="A2:AI1471"/>
    </sheetView>
  </sheetViews>
  <sheetFormatPr baseColWidth="10" defaultRowHeight="16" x14ac:dyDescent="0.2"/>
  <cols>
    <col min="3" max="3" width="16.1640625" customWidth="1"/>
    <col min="4" max="4" width="11.6640625" customWidth="1"/>
    <col min="5" max="5" width="22" bestFit="1" customWidth="1"/>
    <col min="6" max="6" width="20.5" customWidth="1"/>
    <col min="7" max="7" width="11.83203125" customWidth="1"/>
    <col min="8" max="8" width="16" bestFit="1" customWidth="1"/>
    <col min="9" max="9" width="16.6640625" customWidth="1"/>
    <col min="10" max="10" width="18.33203125" customWidth="1"/>
    <col min="11" max="11" width="24" customWidth="1"/>
    <col min="13" max="13" width="12.83203125" customWidth="1"/>
    <col min="14" max="14" width="16.33203125" customWidth="1"/>
    <col min="16" max="16" width="23.5" bestFit="1" customWidth="1"/>
    <col min="17" max="17" width="16.33203125" customWidth="1"/>
    <col min="18" max="18" width="14.83203125" customWidth="1"/>
    <col min="19" max="19" width="16.33203125" customWidth="1"/>
    <col min="20" max="20" width="14" customWidth="1"/>
    <col min="21" max="21" width="23.5" customWidth="1"/>
    <col min="23" max="23" width="11.5" customWidth="1"/>
    <col min="24" max="24" width="19" customWidth="1"/>
    <col min="25" max="25" width="19.83203125" customWidth="1"/>
    <col min="26" max="26" width="24" customWidth="1"/>
    <col min="27" max="27" width="16" customWidth="1"/>
    <col min="28" max="28" width="18.1640625" customWidth="1"/>
    <col min="29" max="29" width="19.1640625" customWidth="1"/>
    <col min="30" max="30" width="22.5" customWidth="1"/>
    <col min="31" max="31" width="17.83203125" customWidth="1"/>
    <col min="32" max="32" width="18" customWidth="1"/>
    <col min="33" max="33" width="19.83203125" customWidth="1"/>
    <col min="34" max="34" width="25.33203125" customWidth="1"/>
    <col min="35" max="35" width="23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BAB1-3D93-E240-B31C-413AD9A9277F}">
  <dimension ref="A1:N61"/>
  <sheetViews>
    <sheetView topLeftCell="D41" zoomScale="112" workbookViewId="0">
      <selection activeCell="A3" sqref="A3"/>
    </sheetView>
  </sheetViews>
  <sheetFormatPr baseColWidth="10" defaultRowHeight="16" x14ac:dyDescent="0.2"/>
  <cols>
    <col min="1" max="1" width="20.33203125" bestFit="1" customWidth="1"/>
    <col min="2" max="2" width="16" bestFit="1" customWidth="1"/>
    <col min="3" max="4" width="11.33203125" bestFit="1" customWidth="1"/>
    <col min="5" max="5" width="18.5" bestFit="1" customWidth="1"/>
    <col min="6" max="6" width="9.1640625" bestFit="1" customWidth="1"/>
    <col min="7" max="7" width="22.1640625" bestFit="1" customWidth="1"/>
    <col min="8" max="8" width="16" bestFit="1" customWidth="1"/>
    <col min="9" max="9" width="5" bestFit="1" customWidth="1"/>
    <col min="10" max="10" width="10.5" bestFit="1" customWidth="1"/>
    <col min="11" max="11" width="26" bestFit="1" customWidth="1"/>
    <col min="12" max="12" width="24.83203125" bestFit="1" customWidth="1"/>
    <col min="13" max="13" width="12.6640625" bestFit="1" customWidth="1"/>
    <col min="14" max="14" width="39.5" bestFit="1" customWidth="1"/>
    <col min="15" max="15" width="9.1640625" bestFit="1" customWidth="1"/>
    <col min="16" max="16" width="25" bestFit="1" customWidth="1"/>
    <col min="17" max="17" width="18.33203125" bestFit="1" customWidth="1"/>
    <col min="18" max="18" width="10.1640625" bestFit="1" customWidth="1"/>
    <col min="19" max="19" width="20.6640625" bestFit="1" customWidth="1"/>
    <col min="20" max="20" width="18.83203125" bestFit="1" customWidth="1"/>
    <col min="21" max="21" width="9.1640625" bestFit="1" customWidth="1"/>
    <col min="22" max="22" width="21.1640625" bestFit="1" customWidth="1"/>
    <col min="23" max="23" width="15.83203125" bestFit="1" customWidth="1"/>
    <col min="24" max="24" width="9.1640625" bestFit="1" customWidth="1"/>
    <col min="25" max="25" width="18.33203125" bestFit="1" customWidth="1"/>
    <col min="26" max="26" width="20.6640625" bestFit="1" customWidth="1"/>
    <col min="27" max="27" width="9.1640625" bestFit="1" customWidth="1"/>
    <col min="28" max="28" width="23.1640625" bestFit="1" customWidth="1"/>
    <col min="29" max="29" width="10.5" bestFit="1" customWidth="1"/>
  </cols>
  <sheetData>
    <row r="1" spans="1:14" x14ac:dyDescent="0.2">
      <c r="A1" s="1" t="s">
        <v>110</v>
      </c>
      <c r="B1" s="1" t="s">
        <v>109</v>
      </c>
      <c r="E1" t="s">
        <v>111</v>
      </c>
      <c r="G1" s="1" t="s">
        <v>110</v>
      </c>
      <c r="H1" s="1" t="s">
        <v>109</v>
      </c>
    </row>
    <row r="2" spans="1:14" x14ac:dyDescent="0.2">
      <c r="A2" s="1" t="s">
        <v>4</v>
      </c>
      <c r="B2" t="s">
        <v>117</v>
      </c>
      <c r="C2" t="s">
        <v>118</v>
      </c>
      <c r="D2" t="s">
        <v>108</v>
      </c>
      <c r="G2" s="1" t="s">
        <v>113</v>
      </c>
      <c r="H2" t="s">
        <v>117</v>
      </c>
      <c r="I2" t="s">
        <v>118</v>
      </c>
      <c r="J2" t="s">
        <v>108</v>
      </c>
      <c r="K2" t="s">
        <v>111</v>
      </c>
    </row>
    <row r="3" spans="1:14" x14ac:dyDescent="0.2">
      <c r="A3" s="2" t="s">
        <v>45</v>
      </c>
      <c r="B3">
        <v>828</v>
      </c>
      <c r="C3">
        <v>133</v>
      </c>
      <c r="D3">
        <v>961</v>
      </c>
      <c r="E3" s="4">
        <f>C3/D3</f>
        <v>0.13839750260145681</v>
      </c>
      <c r="G3" s="2">
        <v>1</v>
      </c>
      <c r="H3">
        <v>223</v>
      </c>
      <c r="I3">
        <v>66</v>
      </c>
      <c r="J3">
        <v>289</v>
      </c>
      <c r="K3" s="3">
        <f>I3/J3</f>
        <v>0.22837370242214533</v>
      </c>
    </row>
    <row r="4" spans="1:14" x14ac:dyDescent="0.2">
      <c r="A4" s="2" t="s">
        <v>37</v>
      </c>
      <c r="B4">
        <v>354</v>
      </c>
      <c r="C4">
        <v>92</v>
      </c>
      <c r="D4">
        <v>446</v>
      </c>
      <c r="E4" s="4">
        <f t="shared" ref="E4:E5" si="0">C4/D4</f>
        <v>0.20627802690582961</v>
      </c>
      <c r="G4" s="2">
        <v>2</v>
      </c>
      <c r="H4">
        <v>234</v>
      </c>
      <c r="I4">
        <v>46</v>
      </c>
      <c r="J4">
        <v>280</v>
      </c>
      <c r="K4" s="3">
        <f t="shared" ref="K4:K6" si="1">I4/J4</f>
        <v>0.16428571428571428</v>
      </c>
    </row>
    <row r="5" spans="1:14" x14ac:dyDescent="0.2">
      <c r="A5" s="2" t="s">
        <v>61</v>
      </c>
      <c r="B5">
        <v>51</v>
      </c>
      <c r="C5">
        <v>12</v>
      </c>
      <c r="D5">
        <v>63</v>
      </c>
      <c r="E5" s="4">
        <f t="shared" si="0"/>
        <v>0.19047619047619047</v>
      </c>
      <c r="G5" s="2">
        <v>3</v>
      </c>
      <c r="H5">
        <v>369</v>
      </c>
      <c r="I5">
        <v>73</v>
      </c>
      <c r="J5">
        <v>442</v>
      </c>
      <c r="K5" s="3">
        <f t="shared" si="1"/>
        <v>0.16515837104072398</v>
      </c>
    </row>
    <row r="6" spans="1:14" x14ac:dyDescent="0.2">
      <c r="A6" s="2" t="s">
        <v>108</v>
      </c>
      <c r="B6">
        <v>1233</v>
      </c>
      <c r="C6">
        <v>237</v>
      </c>
      <c r="D6">
        <v>1470</v>
      </c>
      <c r="G6" s="2">
        <v>4</v>
      </c>
      <c r="H6">
        <v>407</v>
      </c>
      <c r="I6">
        <v>52</v>
      </c>
      <c r="J6">
        <v>459</v>
      </c>
      <c r="K6" s="3">
        <f t="shared" si="1"/>
        <v>0.11328976034858387</v>
      </c>
    </row>
    <row r="7" spans="1:14" x14ac:dyDescent="0.2">
      <c r="G7" s="2" t="s">
        <v>108</v>
      </c>
      <c r="H7">
        <v>1233</v>
      </c>
      <c r="I7">
        <v>237</v>
      </c>
      <c r="J7">
        <v>1470</v>
      </c>
    </row>
    <row r="8" spans="1:14" x14ac:dyDescent="0.2">
      <c r="N8" s="7" t="s">
        <v>122</v>
      </c>
    </row>
    <row r="9" spans="1:14" x14ac:dyDescent="0.2">
      <c r="A9" s="1" t="s">
        <v>112</v>
      </c>
      <c r="B9" s="1" t="s">
        <v>109</v>
      </c>
      <c r="G9" s="1" t="s">
        <v>110</v>
      </c>
      <c r="H9" s="1" t="s">
        <v>109</v>
      </c>
      <c r="N9" s="7" t="s">
        <v>123</v>
      </c>
    </row>
    <row r="10" spans="1:14" x14ac:dyDescent="0.2">
      <c r="A10" s="1" t="s">
        <v>120</v>
      </c>
      <c r="B10" t="s">
        <v>117</v>
      </c>
      <c r="C10" t="s">
        <v>118</v>
      </c>
      <c r="D10" t="s">
        <v>108</v>
      </c>
      <c r="G10" s="1" t="s">
        <v>114</v>
      </c>
      <c r="H10" t="s">
        <v>117</v>
      </c>
      <c r="I10" t="s">
        <v>118</v>
      </c>
      <c r="J10" t="s">
        <v>108</v>
      </c>
      <c r="K10" s="6" t="s">
        <v>111</v>
      </c>
      <c r="N10" s="7" t="s">
        <v>124</v>
      </c>
    </row>
    <row r="11" spans="1:14" x14ac:dyDescent="0.2">
      <c r="A11" s="2" t="s">
        <v>56</v>
      </c>
      <c r="B11" s="5">
        <v>17201.484536082473</v>
      </c>
      <c r="C11" s="5">
        <v>16797.400000000001</v>
      </c>
      <c r="D11" s="5">
        <v>17181.676470588234</v>
      </c>
      <c r="G11" s="2">
        <v>1</v>
      </c>
      <c r="H11">
        <v>212</v>
      </c>
      <c r="I11">
        <v>72</v>
      </c>
      <c r="J11">
        <v>284</v>
      </c>
      <c r="K11" s="3">
        <f>I11/J11</f>
        <v>0.25352112676056338</v>
      </c>
      <c r="N11" s="7" t="s">
        <v>125</v>
      </c>
    </row>
    <row r="12" spans="1:14" x14ac:dyDescent="0.2">
      <c r="A12" s="2" t="s">
        <v>58</v>
      </c>
      <c r="B12" s="5">
        <v>15947.346153846154</v>
      </c>
      <c r="C12" s="5">
        <v>19395.5</v>
      </c>
      <c r="D12" s="5">
        <v>16033.55</v>
      </c>
      <c r="G12" s="2">
        <v>2</v>
      </c>
      <c r="H12">
        <v>244</v>
      </c>
      <c r="I12">
        <v>43</v>
      </c>
      <c r="J12">
        <v>287</v>
      </c>
      <c r="K12" s="3">
        <f t="shared" ref="K12:K14" si="2">I12/J12</f>
        <v>0.14982578397212543</v>
      </c>
      <c r="N12" s="7" t="s">
        <v>126</v>
      </c>
    </row>
    <row r="13" spans="1:14" x14ac:dyDescent="0.2">
      <c r="A13" s="2" t="s">
        <v>54</v>
      </c>
      <c r="B13" s="5">
        <v>7453.5573770491801</v>
      </c>
      <c r="C13" s="5">
        <v>8548.2222222222226</v>
      </c>
      <c r="D13" s="5">
        <v>7528.7633587786258</v>
      </c>
      <c r="G13" s="2">
        <v>3</v>
      </c>
      <c r="H13">
        <v>391</v>
      </c>
      <c r="I13">
        <v>62</v>
      </c>
      <c r="J13">
        <v>453</v>
      </c>
      <c r="K13" s="3">
        <f t="shared" si="2"/>
        <v>0.13686534216335541</v>
      </c>
      <c r="N13" s="7" t="s">
        <v>127</v>
      </c>
    </row>
    <row r="14" spans="1:14" x14ac:dyDescent="0.2">
      <c r="A14" s="2" t="s">
        <v>53</v>
      </c>
      <c r="B14" s="5">
        <v>7289.9259259259261</v>
      </c>
      <c r="C14" s="5">
        <v>7365.5</v>
      </c>
      <c r="D14" s="5">
        <v>7295.1379310344828</v>
      </c>
      <c r="G14" s="2">
        <v>4</v>
      </c>
      <c r="H14">
        <v>386</v>
      </c>
      <c r="I14">
        <v>60</v>
      </c>
      <c r="J14">
        <v>446</v>
      </c>
      <c r="K14" s="3">
        <f t="shared" si="2"/>
        <v>0.13452914798206278</v>
      </c>
      <c r="N14" s="7" t="s">
        <v>128</v>
      </c>
    </row>
    <row r="15" spans="1:14" x14ac:dyDescent="0.2">
      <c r="A15" s="2" t="s">
        <v>40</v>
      </c>
      <c r="B15" s="5">
        <v>6804.6171003717473</v>
      </c>
      <c r="C15" s="5">
        <v>7489</v>
      </c>
      <c r="D15" s="5">
        <v>6924.2791411042945</v>
      </c>
      <c r="G15" s="2" t="s">
        <v>108</v>
      </c>
      <c r="H15">
        <v>1233</v>
      </c>
      <c r="I15">
        <v>237</v>
      </c>
      <c r="J15">
        <v>1470</v>
      </c>
    </row>
    <row r="16" spans="1:14" x14ac:dyDescent="0.2">
      <c r="A16" s="2" t="s">
        <v>61</v>
      </c>
      <c r="B16" s="5">
        <v>4391.75</v>
      </c>
      <c r="C16" s="5">
        <v>3715.75</v>
      </c>
      <c r="D16" s="5">
        <v>4235.75</v>
      </c>
    </row>
    <row r="17" spans="1:11" x14ac:dyDescent="0.2">
      <c r="A17" s="2" t="s">
        <v>50</v>
      </c>
      <c r="B17" s="5">
        <v>3337.223350253807</v>
      </c>
      <c r="C17" s="5">
        <v>2919.2580645161293</v>
      </c>
      <c r="D17" s="5">
        <v>3237.169884169884</v>
      </c>
      <c r="G17" s="1" t="s">
        <v>110</v>
      </c>
      <c r="H17" s="1" t="s">
        <v>109</v>
      </c>
    </row>
    <row r="18" spans="1:11" x14ac:dyDescent="0.2">
      <c r="A18" s="2" t="s">
        <v>47</v>
      </c>
      <c r="B18" s="5">
        <v>3328.1224489795918</v>
      </c>
      <c r="C18" s="5">
        <v>2780.4680851063831</v>
      </c>
      <c r="D18" s="5">
        <v>3239.972602739726</v>
      </c>
      <c r="G18" s="1" t="s">
        <v>115</v>
      </c>
      <c r="H18" t="s">
        <v>117</v>
      </c>
      <c r="I18" t="s">
        <v>118</v>
      </c>
      <c r="J18" t="s">
        <v>108</v>
      </c>
      <c r="K18" s="6" t="s">
        <v>111</v>
      </c>
    </row>
    <row r="19" spans="1:11" x14ac:dyDescent="0.2">
      <c r="A19" s="2" t="s">
        <v>57</v>
      </c>
      <c r="B19" s="5">
        <v>2798.44</v>
      </c>
      <c r="C19" s="5">
        <v>2364.7272727272725</v>
      </c>
      <c r="D19" s="5">
        <v>2626</v>
      </c>
      <c r="G19" s="2">
        <v>1</v>
      </c>
      <c r="H19">
        <v>55</v>
      </c>
      <c r="I19">
        <v>25</v>
      </c>
      <c r="J19">
        <v>80</v>
      </c>
      <c r="K19" s="3">
        <f>I19/J19</f>
        <v>0.3125</v>
      </c>
    </row>
    <row r="20" spans="1:11" x14ac:dyDescent="0.2">
      <c r="A20" s="2" t="s">
        <v>108</v>
      </c>
      <c r="B20" s="5">
        <v>6832.7396593673966</v>
      </c>
      <c r="C20" s="5">
        <v>4787.0928270042195</v>
      </c>
      <c r="D20" s="5">
        <v>6502.931292517007</v>
      </c>
      <c r="G20" s="2">
        <v>2</v>
      </c>
      <c r="H20">
        <v>286</v>
      </c>
      <c r="I20">
        <v>58</v>
      </c>
      <c r="J20">
        <v>344</v>
      </c>
      <c r="K20" s="3">
        <f t="shared" ref="K20:K22" si="3">I20/J20</f>
        <v>0.16860465116279069</v>
      </c>
    </row>
    <row r="21" spans="1:11" x14ac:dyDescent="0.2">
      <c r="G21" s="2">
        <v>3</v>
      </c>
      <c r="H21">
        <v>766</v>
      </c>
      <c r="I21">
        <v>127</v>
      </c>
      <c r="J21">
        <v>893</v>
      </c>
      <c r="K21" s="3">
        <f t="shared" si="3"/>
        <v>0.14221724524076149</v>
      </c>
    </row>
    <row r="22" spans="1:11" x14ac:dyDescent="0.2">
      <c r="A22" s="1" t="s">
        <v>110</v>
      </c>
      <c r="B22" s="1" t="s">
        <v>109</v>
      </c>
      <c r="G22" s="2">
        <v>4</v>
      </c>
      <c r="H22">
        <v>126</v>
      </c>
      <c r="I22">
        <v>27</v>
      </c>
      <c r="J22">
        <v>153</v>
      </c>
      <c r="K22" s="3">
        <f t="shared" si="3"/>
        <v>0.17647058823529413</v>
      </c>
    </row>
    <row r="23" spans="1:11" x14ac:dyDescent="0.2">
      <c r="A23" s="1" t="s">
        <v>121</v>
      </c>
      <c r="B23" t="s">
        <v>117</v>
      </c>
      <c r="C23" t="s">
        <v>118</v>
      </c>
      <c r="D23" t="s">
        <v>108</v>
      </c>
      <c r="E23" t="s">
        <v>111</v>
      </c>
      <c r="G23" s="2" t="s">
        <v>108</v>
      </c>
      <c r="H23">
        <v>1233</v>
      </c>
      <c r="I23">
        <v>237</v>
      </c>
      <c r="J23">
        <v>1470</v>
      </c>
    </row>
    <row r="24" spans="1:11" x14ac:dyDescent="0.2">
      <c r="A24" s="2">
        <v>0</v>
      </c>
      <c r="B24">
        <v>28</v>
      </c>
      <c r="C24">
        <v>16</v>
      </c>
      <c r="D24">
        <v>44</v>
      </c>
      <c r="E24" s="3">
        <f>C24/D24</f>
        <v>0.36363636363636365</v>
      </c>
    </row>
    <row r="25" spans="1:11" x14ac:dyDescent="0.2">
      <c r="A25" s="2">
        <v>1</v>
      </c>
      <c r="B25">
        <v>112</v>
      </c>
      <c r="C25">
        <v>59</v>
      </c>
      <c r="D25">
        <v>171</v>
      </c>
      <c r="E25" s="3">
        <f t="shared" ref="E25:E61" si="4">C25/D25</f>
        <v>0.34502923976608185</v>
      </c>
      <c r="G25" s="1" t="s">
        <v>110</v>
      </c>
      <c r="H25" s="1" t="s">
        <v>109</v>
      </c>
    </row>
    <row r="26" spans="1:11" x14ac:dyDescent="0.2">
      <c r="A26" s="2">
        <v>2</v>
      </c>
      <c r="B26">
        <v>100</v>
      </c>
      <c r="C26">
        <v>27</v>
      </c>
      <c r="D26">
        <v>127</v>
      </c>
      <c r="E26" s="3">
        <f t="shared" si="4"/>
        <v>0.2125984251968504</v>
      </c>
      <c r="G26" s="1" t="s">
        <v>116</v>
      </c>
      <c r="H26" t="s">
        <v>117</v>
      </c>
      <c r="I26" t="s">
        <v>118</v>
      </c>
      <c r="J26" t="s">
        <v>108</v>
      </c>
      <c r="K26" s="6" t="s">
        <v>111</v>
      </c>
    </row>
    <row r="27" spans="1:11" x14ac:dyDescent="0.2">
      <c r="A27" s="2">
        <v>3</v>
      </c>
      <c r="B27">
        <v>108</v>
      </c>
      <c r="C27">
        <v>20</v>
      </c>
      <c r="D27">
        <v>128</v>
      </c>
      <c r="E27" s="3">
        <f t="shared" si="4"/>
        <v>0.15625</v>
      </c>
      <c r="G27" s="2" t="s">
        <v>119</v>
      </c>
      <c r="H27">
        <v>944</v>
      </c>
      <c r="I27">
        <v>110</v>
      </c>
      <c r="J27">
        <v>1054</v>
      </c>
      <c r="K27" s="3">
        <f>I27/J27</f>
        <v>0.10436432637571158</v>
      </c>
    </row>
    <row r="28" spans="1:11" x14ac:dyDescent="0.2">
      <c r="A28" s="2">
        <v>4</v>
      </c>
      <c r="B28">
        <v>91</v>
      </c>
      <c r="C28">
        <v>19</v>
      </c>
      <c r="D28">
        <v>110</v>
      </c>
      <c r="E28" s="3">
        <f t="shared" si="4"/>
        <v>0.17272727272727273</v>
      </c>
      <c r="G28" s="2" t="s">
        <v>116</v>
      </c>
      <c r="H28">
        <v>289</v>
      </c>
      <c r="I28">
        <v>127</v>
      </c>
      <c r="J28">
        <v>416</v>
      </c>
      <c r="K28" s="3">
        <f>I28/J28</f>
        <v>0.30528846153846156</v>
      </c>
    </row>
    <row r="29" spans="1:11" x14ac:dyDescent="0.2">
      <c r="A29" s="2">
        <v>5</v>
      </c>
      <c r="B29">
        <v>175</v>
      </c>
      <c r="C29">
        <v>21</v>
      </c>
      <c r="D29">
        <v>196</v>
      </c>
      <c r="E29" s="3">
        <f t="shared" si="4"/>
        <v>0.10714285714285714</v>
      </c>
      <c r="G29" s="2" t="s">
        <v>108</v>
      </c>
      <c r="H29">
        <v>1233</v>
      </c>
      <c r="I29">
        <v>237</v>
      </c>
      <c r="J29">
        <v>1470</v>
      </c>
    </row>
    <row r="30" spans="1:11" x14ac:dyDescent="0.2">
      <c r="A30" s="2">
        <v>6</v>
      </c>
      <c r="B30">
        <v>67</v>
      </c>
      <c r="C30">
        <v>9</v>
      </c>
      <c r="D30">
        <v>76</v>
      </c>
      <c r="E30" s="3">
        <f t="shared" si="4"/>
        <v>0.11842105263157894</v>
      </c>
    </row>
    <row r="31" spans="1:11" x14ac:dyDescent="0.2">
      <c r="A31" s="2">
        <v>7</v>
      </c>
      <c r="B31">
        <v>79</v>
      </c>
      <c r="C31">
        <v>11</v>
      </c>
      <c r="D31">
        <v>90</v>
      </c>
      <c r="E31" s="3">
        <f t="shared" si="4"/>
        <v>0.12222222222222222</v>
      </c>
    </row>
    <row r="32" spans="1:11" x14ac:dyDescent="0.2">
      <c r="A32" s="2">
        <v>8</v>
      </c>
      <c r="B32">
        <v>71</v>
      </c>
      <c r="C32">
        <v>9</v>
      </c>
      <c r="D32">
        <v>80</v>
      </c>
      <c r="E32" s="3">
        <f t="shared" si="4"/>
        <v>0.1125</v>
      </c>
    </row>
    <row r="33" spans="1:5" x14ac:dyDescent="0.2">
      <c r="A33" s="2">
        <v>9</v>
      </c>
      <c r="B33">
        <v>74</v>
      </c>
      <c r="C33">
        <v>8</v>
      </c>
      <c r="D33">
        <v>82</v>
      </c>
      <c r="E33" s="3">
        <f t="shared" si="4"/>
        <v>9.7560975609756101E-2</v>
      </c>
    </row>
    <row r="34" spans="1:5" x14ac:dyDescent="0.2">
      <c r="A34" s="2">
        <v>10</v>
      </c>
      <c r="B34">
        <v>102</v>
      </c>
      <c r="C34">
        <v>18</v>
      </c>
      <c r="D34">
        <v>120</v>
      </c>
      <c r="E34" s="3">
        <f t="shared" si="4"/>
        <v>0.15</v>
      </c>
    </row>
    <row r="35" spans="1:5" x14ac:dyDescent="0.2">
      <c r="A35" s="2">
        <v>11</v>
      </c>
      <c r="B35">
        <v>30</v>
      </c>
      <c r="C35">
        <v>2</v>
      </c>
      <c r="D35">
        <v>32</v>
      </c>
      <c r="E35" s="3">
        <f t="shared" si="4"/>
        <v>6.25E-2</v>
      </c>
    </row>
    <row r="36" spans="1:5" x14ac:dyDescent="0.2">
      <c r="A36" s="2">
        <v>12</v>
      </c>
      <c r="B36">
        <v>14</v>
      </c>
      <c r="D36">
        <v>14</v>
      </c>
      <c r="E36" s="3">
        <f t="shared" si="4"/>
        <v>0</v>
      </c>
    </row>
    <row r="37" spans="1:5" x14ac:dyDescent="0.2">
      <c r="A37" s="2">
        <v>13</v>
      </c>
      <c r="B37">
        <v>22</v>
      </c>
      <c r="C37">
        <v>2</v>
      </c>
      <c r="D37">
        <v>24</v>
      </c>
      <c r="E37" s="3">
        <f t="shared" si="4"/>
        <v>8.3333333333333329E-2</v>
      </c>
    </row>
    <row r="38" spans="1:5" x14ac:dyDescent="0.2">
      <c r="A38" s="2">
        <v>14</v>
      </c>
      <c r="B38">
        <v>16</v>
      </c>
      <c r="C38">
        <v>2</v>
      </c>
      <c r="D38">
        <v>18</v>
      </c>
      <c r="E38" s="3">
        <f t="shared" si="4"/>
        <v>0.1111111111111111</v>
      </c>
    </row>
    <row r="39" spans="1:5" x14ac:dyDescent="0.2">
      <c r="A39" s="2">
        <v>15</v>
      </c>
      <c r="B39">
        <v>19</v>
      </c>
      <c r="C39">
        <v>1</v>
      </c>
      <c r="D39">
        <v>20</v>
      </c>
      <c r="E39" s="3">
        <f t="shared" si="4"/>
        <v>0.05</v>
      </c>
    </row>
    <row r="40" spans="1:5" x14ac:dyDescent="0.2">
      <c r="A40" s="2">
        <v>16</v>
      </c>
      <c r="B40">
        <v>11</v>
      </c>
      <c r="C40">
        <v>1</v>
      </c>
      <c r="D40">
        <v>12</v>
      </c>
      <c r="E40" s="3">
        <f t="shared" si="4"/>
        <v>8.3333333333333329E-2</v>
      </c>
    </row>
    <row r="41" spans="1:5" x14ac:dyDescent="0.2">
      <c r="A41" s="2">
        <v>17</v>
      </c>
      <c r="B41">
        <v>8</v>
      </c>
      <c r="C41">
        <v>1</v>
      </c>
      <c r="D41">
        <v>9</v>
      </c>
      <c r="E41" s="3">
        <f t="shared" si="4"/>
        <v>0.1111111111111111</v>
      </c>
    </row>
    <row r="42" spans="1:5" x14ac:dyDescent="0.2">
      <c r="A42" s="2">
        <v>18</v>
      </c>
      <c r="B42">
        <v>12</v>
      </c>
      <c r="C42">
        <v>1</v>
      </c>
      <c r="D42">
        <v>13</v>
      </c>
      <c r="E42" s="3">
        <f t="shared" si="4"/>
        <v>7.6923076923076927E-2</v>
      </c>
    </row>
    <row r="43" spans="1:5" x14ac:dyDescent="0.2">
      <c r="A43" s="2">
        <v>19</v>
      </c>
      <c r="B43">
        <v>10</v>
      </c>
      <c r="C43">
        <v>1</v>
      </c>
      <c r="D43">
        <v>11</v>
      </c>
      <c r="E43" s="3">
        <f t="shared" si="4"/>
        <v>9.0909090909090912E-2</v>
      </c>
    </row>
    <row r="44" spans="1:5" x14ac:dyDescent="0.2">
      <c r="A44" s="2">
        <v>20</v>
      </c>
      <c r="B44">
        <v>26</v>
      </c>
      <c r="C44">
        <v>1</v>
      </c>
      <c r="D44">
        <v>27</v>
      </c>
      <c r="E44" s="3">
        <f t="shared" si="4"/>
        <v>3.7037037037037035E-2</v>
      </c>
    </row>
    <row r="45" spans="1:5" x14ac:dyDescent="0.2">
      <c r="A45" s="2">
        <v>21</v>
      </c>
      <c r="B45">
        <v>13</v>
      </c>
      <c r="C45">
        <v>1</v>
      </c>
      <c r="D45">
        <v>14</v>
      </c>
      <c r="E45" s="3">
        <f t="shared" si="4"/>
        <v>7.1428571428571425E-2</v>
      </c>
    </row>
    <row r="46" spans="1:5" x14ac:dyDescent="0.2">
      <c r="A46" s="2">
        <v>22</v>
      </c>
      <c r="B46">
        <v>14</v>
      </c>
      <c r="C46">
        <v>1</v>
      </c>
      <c r="D46">
        <v>15</v>
      </c>
      <c r="E46" s="3">
        <f t="shared" si="4"/>
        <v>6.6666666666666666E-2</v>
      </c>
    </row>
    <row r="47" spans="1:5" x14ac:dyDescent="0.2">
      <c r="A47" s="2">
        <v>23</v>
      </c>
      <c r="B47">
        <v>1</v>
      </c>
      <c r="C47">
        <v>1</v>
      </c>
      <c r="D47">
        <v>2</v>
      </c>
      <c r="E47" s="3">
        <f t="shared" si="4"/>
        <v>0.5</v>
      </c>
    </row>
    <row r="48" spans="1:5" x14ac:dyDescent="0.2">
      <c r="A48" s="2">
        <v>24</v>
      </c>
      <c r="B48">
        <v>5</v>
      </c>
      <c r="C48">
        <v>1</v>
      </c>
      <c r="D48">
        <v>6</v>
      </c>
      <c r="E48" s="3">
        <f t="shared" si="4"/>
        <v>0.16666666666666666</v>
      </c>
    </row>
    <row r="49" spans="1:5" x14ac:dyDescent="0.2">
      <c r="A49" s="2">
        <v>25</v>
      </c>
      <c r="B49">
        <v>4</v>
      </c>
      <c r="D49">
        <v>4</v>
      </c>
      <c r="E49" s="3">
        <f t="shared" si="4"/>
        <v>0</v>
      </c>
    </row>
    <row r="50" spans="1:5" x14ac:dyDescent="0.2">
      <c r="A50" s="2">
        <v>26</v>
      </c>
      <c r="B50">
        <v>4</v>
      </c>
      <c r="D50">
        <v>4</v>
      </c>
      <c r="E50" s="3">
        <f t="shared" si="4"/>
        <v>0</v>
      </c>
    </row>
    <row r="51" spans="1:5" x14ac:dyDescent="0.2">
      <c r="A51" s="2">
        <v>27</v>
      </c>
      <c r="B51">
        <v>2</v>
      </c>
      <c r="D51">
        <v>2</v>
      </c>
      <c r="E51" s="3">
        <f t="shared" si="4"/>
        <v>0</v>
      </c>
    </row>
    <row r="52" spans="1:5" x14ac:dyDescent="0.2">
      <c r="A52" s="2">
        <v>29</v>
      </c>
      <c r="B52">
        <v>2</v>
      </c>
      <c r="D52">
        <v>2</v>
      </c>
      <c r="E52" s="3">
        <f t="shared" si="4"/>
        <v>0</v>
      </c>
    </row>
    <row r="53" spans="1:5" x14ac:dyDescent="0.2">
      <c r="A53" s="2">
        <v>30</v>
      </c>
      <c r="B53">
        <v>1</v>
      </c>
      <c r="D53">
        <v>1</v>
      </c>
      <c r="E53" s="3">
        <f t="shared" si="4"/>
        <v>0</v>
      </c>
    </row>
    <row r="54" spans="1:5" x14ac:dyDescent="0.2">
      <c r="A54" s="2">
        <v>31</v>
      </c>
      <c r="B54">
        <v>2</v>
      </c>
      <c r="C54">
        <v>1</v>
      </c>
      <c r="D54">
        <v>3</v>
      </c>
      <c r="E54" s="3">
        <f t="shared" si="4"/>
        <v>0.33333333333333331</v>
      </c>
    </row>
    <row r="55" spans="1:5" x14ac:dyDescent="0.2">
      <c r="A55" s="2">
        <v>32</v>
      </c>
      <c r="B55">
        <v>2</v>
      </c>
      <c r="C55">
        <v>1</v>
      </c>
      <c r="D55">
        <v>3</v>
      </c>
      <c r="E55" s="3">
        <f t="shared" si="4"/>
        <v>0.33333333333333331</v>
      </c>
    </row>
    <row r="56" spans="1:5" x14ac:dyDescent="0.2">
      <c r="A56" s="2">
        <v>33</v>
      </c>
      <c r="B56">
        <v>4</v>
      </c>
      <c r="C56">
        <v>1</v>
      </c>
      <c r="D56">
        <v>5</v>
      </c>
      <c r="E56" s="3">
        <f t="shared" si="4"/>
        <v>0.2</v>
      </c>
    </row>
    <row r="57" spans="1:5" x14ac:dyDescent="0.2">
      <c r="A57" s="2">
        <v>34</v>
      </c>
      <c r="B57">
        <v>1</v>
      </c>
      <c r="D57">
        <v>1</v>
      </c>
      <c r="E57" s="3">
        <f t="shared" si="4"/>
        <v>0</v>
      </c>
    </row>
    <row r="58" spans="1:5" x14ac:dyDescent="0.2">
      <c r="A58" s="2">
        <v>36</v>
      </c>
      <c r="B58">
        <v>2</v>
      </c>
      <c r="D58">
        <v>2</v>
      </c>
      <c r="E58" s="3">
        <f t="shared" si="4"/>
        <v>0</v>
      </c>
    </row>
    <row r="59" spans="1:5" x14ac:dyDescent="0.2">
      <c r="A59" s="2">
        <v>37</v>
      </c>
      <c r="B59">
        <v>1</v>
      </c>
      <c r="D59">
        <v>1</v>
      </c>
      <c r="E59" s="3">
        <f t="shared" si="4"/>
        <v>0</v>
      </c>
    </row>
    <row r="60" spans="1:5" x14ac:dyDescent="0.2">
      <c r="A60" s="2">
        <v>40</v>
      </c>
      <c r="C60">
        <v>1</v>
      </c>
      <c r="D60">
        <v>1</v>
      </c>
      <c r="E60" s="3">
        <f t="shared" si="4"/>
        <v>1</v>
      </c>
    </row>
    <row r="61" spans="1:5" x14ac:dyDescent="0.2">
      <c r="A61" s="2" t="s">
        <v>108</v>
      </c>
      <c r="B61">
        <v>1233</v>
      </c>
      <c r="C61">
        <v>237</v>
      </c>
      <c r="D61">
        <v>1470</v>
      </c>
      <c r="E61" s="3">
        <f t="shared" si="4"/>
        <v>0.16122448979591836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3233-F68F-6446-AED0-AB5BBF9A9250}">
  <dimension ref="A1:AK1471"/>
  <sheetViews>
    <sheetView topLeftCell="Z1" workbookViewId="0">
      <pane ySplit="1" topLeftCell="A2" activePane="bottomLeft" state="frozen"/>
      <selection pane="bottomLeft" activeCell="F2" sqref="F2"/>
    </sheetView>
  </sheetViews>
  <sheetFormatPr baseColWidth="10" defaultRowHeight="16" x14ac:dyDescent="0.2"/>
  <cols>
    <col min="1" max="1" width="6.83203125" bestFit="1" customWidth="1"/>
    <col min="2" max="2" width="10.5" bestFit="1" customWidth="1"/>
    <col min="3" max="3" width="16.1640625" bestFit="1" customWidth="1"/>
    <col min="4" max="4" width="11.6640625" bestFit="1" customWidth="1"/>
    <col min="5" max="5" width="21.83203125" bestFit="1" customWidth="1"/>
    <col min="6" max="6" width="20.6640625" bestFit="1" customWidth="1"/>
    <col min="7" max="7" width="11.83203125" bestFit="1" customWidth="1"/>
    <col min="8" max="8" width="15.83203125" bestFit="1" customWidth="1"/>
    <col min="9" max="9" width="18.33203125" bestFit="1" customWidth="1"/>
    <col min="10" max="10" width="24.33203125" bestFit="1" customWidth="1"/>
    <col min="11" max="11" width="9.6640625" bestFit="1" customWidth="1"/>
    <col min="12" max="12" width="12.83203125" bestFit="1" customWidth="1"/>
    <col min="13" max="13" width="16.33203125" bestFit="1" customWidth="1"/>
    <col min="14" max="14" width="10.6640625" bestFit="1" customWidth="1"/>
    <col min="15" max="15" width="23.33203125" bestFit="1" customWidth="1"/>
    <col min="16" max="16" width="16.33203125" bestFit="1" customWidth="1"/>
    <col min="17" max="17" width="14.83203125" bestFit="1" customWidth="1"/>
    <col min="18" max="18" width="16.33203125" bestFit="1" customWidth="1"/>
    <col min="19" max="19" width="14" bestFit="1" customWidth="1"/>
    <col min="20" max="20" width="23.6640625" bestFit="1" customWidth="1"/>
    <col min="21" max="21" width="11.5" bestFit="1" customWidth="1"/>
    <col min="22" max="22" width="19.1640625" bestFit="1" customWidth="1"/>
    <col min="23" max="23" width="20" bestFit="1" customWidth="1"/>
    <col min="24" max="24" width="24.33203125" bestFit="1" customWidth="1"/>
    <col min="25" max="25" width="18.1640625" bestFit="1" customWidth="1"/>
    <col min="26" max="26" width="19.33203125" bestFit="1" customWidth="1"/>
    <col min="27" max="27" width="22.6640625" bestFit="1" customWidth="1"/>
    <col min="28" max="28" width="17.83203125" bestFit="1" customWidth="1"/>
    <col min="29" max="29" width="18" bestFit="1" customWidth="1"/>
    <col min="30" max="30" width="20" bestFit="1" customWidth="1"/>
    <col min="31" max="31" width="25.5" bestFit="1" customWidth="1"/>
    <col min="32" max="32" width="23.1640625" bestFit="1" customWidth="1"/>
    <col min="33" max="33" width="14" bestFit="1" customWidth="1"/>
    <col min="34" max="34" width="15" bestFit="1" customWidth="1"/>
    <col min="35" max="35" width="11" bestFit="1" customWidth="1"/>
    <col min="36" max="36" width="20.6640625" bestFit="1" customWidth="1"/>
    <col min="37" max="37" width="13.3320312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</row>
    <row r="2" spans="1:37" x14ac:dyDescent="0.2">
      <c r="A2">
        <v>41</v>
      </c>
      <c r="B2" t="s">
        <v>35</v>
      </c>
      <c r="C2" t="s">
        <v>67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v>1</v>
      </c>
      <c r="AH2">
        <v>1</v>
      </c>
      <c r="AI2" t="s">
        <v>68</v>
      </c>
      <c r="AJ2" t="s">
        <v>69</v>
      </c>
      <c r="AK2" t="s">
        <v>70</v>
      </c>
    </row>
    <row r="3" spans="1:37" x14ac:dyDescent="0.2">
      <c r="A3">
        <v>49</v>
      </c>
      <c r="B3" t="s">
        <v>43</v>
      </c>
      <c r="C3" t="s">
        <v>71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24907</v>
      </c>
      <c r="T3">
        <v>1</v>
      </c>
      <c r="U3" t="s">
        <v>43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v>0</v>
      </c>
      <c r="AH3">
        <v>0</v>
      </c>
      <c r="AI3" t="s">
        <v>72</v>
      </c>
      <c r="AJ3" t="s">
        <v>69</v>
      </c>
      <c r="AK3" t="s">
        <v>73</v>
      </c>
    </row>
    <row r="4" spans="1:37" x14ac:dyDescent="0.2">
      <c r="A4">
        <v>37</v>
      </c>
      <c r="B4" t="s">
        <v>35</v>
      </c>
      <c r="C4" t="s">
        <v>67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 t="s">
        <v>68</v>
      </c>
      <c r="AJ4" t="s">
        <v>74</v>
      </c>
      <c r="AK4" t="s">
        <v>75</v>
      </c>
    </row>
    <row r="5" spans="1:37" x14ac:dyDescent="0.2">
      <c r="A5">
        <v>33</v>
      </c>
      <c r="B5" t="s">
        <v>43</v>
      </c>
      <c r="C5" t="s">
        <v>71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v>0</v>
      </c>
      <c r="AH5">
        <v>1</v>
      </c>
      <c r="AI5" t="s">
        <v>76</v>
      </c>
      <c r="AJ5" t="s">
        <v>74</v>
      </c>
      <c r="AK5" t="s">
        <v>70</v>
      </c>
    </row>
    <row r="6" spans="1:37" x14ac:dyDescent="0.2">
      <c r="A6">
        <v>27</v>
      </c>
      <c r="B6" t="s">
        <v>43</v>
      </c>
      <c r="C6" t="s">
        <v>67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v>0</v>
      </c>
      <c r="AH6">
        <v>0</v>
      </c>
      <c r="AI6" t="s">
        <v>76</v>
      </c>
      <c r="AJ6" t="s">
        <v>69</v>
      </c>
      <c r="AK6" t="s">
        <v>77</v>
      </c>
    </row>
    <row r="7" spans="1:37" x14ac:dyDescent="0.2">
      <c r="A7">
        <v>32</v>
      </c>
      <c r="B7" t="s">
        <v>43</v>
      </c>
      <c r="C7" t="s">
        <v>71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v>0</v>
      </c>
      <c r="AH7">
        <v>0</v>
      </c>
      <c r="AI7" t="s">
        <v>76</v>
      </c>
      <c r="AJ7" t="s">
        <v>69</v>
      </c>
      <c r="AK7" t="s">
        <v>70</v>
      </c>
    </row>
    <row r="8" spans="1:37" x14ac:dyDescent="0.2">
      <c r="A8">
        <v>59</v>
      </c>
      <c r="B8" t="s">
        <v>43</v>
      </c>
      <c r="C8" t="s">
        <v>67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 t="s">
        <v>78</v>
      </c>
      <c r="AJ8" t="s">
        <v>74</v>
      </c>
      <c r="AK8" t="s">
        <v>75</v>
      </c>
    </row>
    <row r="9" spans="1:37" x14ac:dyDescent="0.2">
      <c r="A9">
        <v>30</v>
      </c>
      <c r="B9" t="s">
        <v>43</v>
      </c>
      <c r="C9" t="s">
        <v>67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13335</v>
      </c>
      <c r="T9">
        <v>1</v>
      </c>
      <c r="U9" t="s">
        <v>43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76</v>
      </c>
      <c r="AJ9" t="s">
        <v>74</v>
      </c>
      <c r="AK9" t="s">
        <v>75</v>
      </c>
    </row>
    <row r="10" spans="1:37" x14ac:dyDescent="0.2">
      <c r="A10">
        <v>38</v>
      </c>
      <c r="B10" t="s">
        <v>43</v>
      </c>
      <c r="C10" t="s">
        <v>71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v>0</v>
      </c>
      <c r="AH10">
        <v>0</v>
      </c>
      <c r="AI10" t="s">
        <v>68</v>
      </c>
      <c r="AJ10" t="s">
        <v>79</v>
      </c>
      <c r="AK10" t="s">
        <v>70</v>
      </c>
    </row>
    <row r="11" spans="1:37" x14ac:dyDescent="0.2">
      <c r="A11">
        <v>36</v>
      </c>
      <c r="B11" t="s">
        <v>43</v>
      </c>
      <c r="C11" t="s">
        <v>67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16577</v>
      </c>
      <c r="T11">
        <v>6</v>
      </c>
      <c r="U11" t="s">
        <v>43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v>0</v>
      </c>
      <c r="AH11">
        <v>0</v>
      </c>
      <c r="AI11" t="s">
        <v>68</v>
      </c>
      <c r="AJ11" t="s">
        <v>69</v>
      </c>
      <c r="AK11" t="s">
        <v>70</v>
      </c>
    </row>
    <row r="12" spans="1:37" x14ac:dyDescent="0.2">
      <c r="A12">
        <v>35</v>
      </c>
      <c r="B12" t="s">
        <v>43</v>
      </c>
      <c r="C12" t="s">
        <v>67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16479</v>
      </c>
      <c r="T12">
        <v>0</v>
      </c>
      <c r="U12" t="s">
        <v>43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v>0</v>
      </c>
      <c r="AH12">
        <v>0</v>
      </c>
      <c r="AI12" t="s">
        <v>68</v>
      </c>
      <c r="AJ12" t="s">
        <v>74</v>
      </c>
      <c r="AK12" t="s">
        <v>70</v>
      </c>
    </row>
    <row r="13" spans="1:37" x14ac:dyDescent="0.2">
      <c r="A13">
        <v>29</v>
      </c>
      <c r="B13" t="s">
        <v>43</v>
      </c>
      <c r="C13" t="s">
        <v>67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v>0</v>
      </c>
      <c r="AH13">
        <v>1</v>
      </c>
      <c r="AI13" t="s">
        <v>76</v>
      </c>
      <c r="AJ13" t="s">
        <v>69</v>
      </c>
      <c r="AK13" t="s">
        <v>70</v>
      </c>
    </row>
    <row r="14" spans="1:37" x14ac:dyDescent="0.2">
      <c r="A14">
        <v>31</v>
      </c>
      <c r="B14" t="s">
        <v>43</v>
      </c>
      <c r="C14" t="s">
        <v>67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15170</v>
      </c>
      <c r="T14">
        <v>1</v>
      </c>
      <c r="U14" t="s">
        <v>43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v>0</v>
      </c>
      <c r="AH14">
        <v>0</v>
      </c>
      <c r="AI14" t="s">
        <v>76</v>
      </c>
      <c r="AJ14" t="s">
        <v>74</v>
      </c>
      <c r="AK14" t="s">
        <v>70</v>
      </c>
    </row>
    <row r="15" spans="1:37" x14ac:dyDescent="0.2">
      <c r="A15">
        <v>34</v>
      </c>
      <c r="B15" t="s">
        <v>43</v>
      </c>
      <c r="C15" t="s">
        <v>67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8758</v>
      </c>
      <c r="T15">
        <v>0</v>
      </c>
      <c r="U15" t="s">
        <v>43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v>0</v>
      </c>
      <c r="AH15">
        <v>0</v>
      </c>
      <c r="AI15" t="s">
        <v>76</v>
      </c>
      <c r="AJ15" t="s">
        <v>74</v>
      </c>
      <c r="AK15" t="s">
        <v>77</v>
      </c>
    </row>
    <row r="16" spans="1:37" x14ac:dyDescent="0.2">
      <c r="A16">
        <v>28</v>
      </c>
      <c r="B16" t="s">
        <v>35</v>
      </c>
      <c r="C16" t="s">
        <v>67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v>1</v>
      </c>
      <c r="AH16">
        <v>1</v>
      </c>
      <c r="AI16" t="s">
        <v>76</v>
      </c>
      <c r="AJ16" t="s">
        <v>74</v>
      </c>
      <c r="AK16" t="s">
        <v>77</v>
      </c>
    </row>
    <row r="17" spans="1:37" x14ac:dyDescent="0.2">
      <c r="A17">
        <v>29</v>
      </c>
      <c r="B17" t="s">
        <v>43</v>
      </c>
      <c r="C17" t="s">
        <v>67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10195</v>
      </c>
      <c r="T17">
        <v>1</v>
      </c>
      <c r="U17" t="s">
        <v>43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v>0</v>
      </c>
      <c r="AH17">
        <v>0</v>
      </c>
      <c r="AI17" t="s">
        <v>76</v>
      </c>
      <c r="AJ17" t="s">
        <v>79</v>
      </c>
      <c r="AK17" t="s">
        <v>73</v>
      </c>
    </row>
    <row r="18" spans="1:37" x14ac:dyDescent="0.2">
      <c r="A18">
        <v>32</v>
      </c>
      <c r="B18" t="s">
        <v>43</v>
      </c>
      <c r="C18" t="s">
        <v>67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v>0</v>
      </c>
      <c r="AH18">
        <v>1</v>
      </c>
      <c r="AI18" t="s">
        <v>76</v>
      </c>
      <c r="AJ18" t="s">
        <v>69</v>
      </c>
      <c r="AK18" t="s">
        <v>70</v>
      </c>
    </row>
    <row r="19" spans="1:37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 t="s">
        <v>80</v>
      </c>
      <c r="AJ19" t="s">
        <v>74</v>
      </c>
      <c r="AK19" t="s">
        <v>75</v>
      </c>
    </row>
    <row r="20" spans="1:37" x14ac:dyDescent="0.2">
      <c r="A20">
        <v>53</v>
      </c>
      <c r="B20" t="s">
        <v>43</v>
      </c>
      <c r="C20" t="s">
        <v>67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22021</v>
      </c>
      <c r="T20">
        <v>2</v>
      </c>
      <c r="U20" t="s">
        <v>43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v>0</v>
      </c>
      <c r="AH20">
        <v>0</v>
      </c>
      <c r="AI20" t="s">
        <v>72</v>
      </c>
      <c r="AJ20" t="s">
        <v>81</v>
      </c>
      <c r="AK20" t="s">
        <v>73</v>
      </c>
    </row>
    <row r="21" spans="1:37" x14ac:dyDescent="0.2">
      <c r="A21">
        <v>38</v>
      </c>
      <c r="B21" t="s">
        <v>43</v>
      </c>
      <c r="C21" t="s">
        <v>67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v>0</v>
      </c>
      <c r="AH21">
        <v>1</v>
      </c>
      <c r="AI21" t="s">
        <v>68</v>
      </c>
      <c r="AJ21" t="s">
        <v>69</v>
      </c>
      <c r="AK21" t="s">
        <v>77</v>
      </c>
    </row>
    <row r="22" spans="1:37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8232</v>
      </c>
      <c r="T22">
        <v>0</v>
      </c>
      <c r="U22" t="s">
        <v>43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v>0</v>
      </c>
      <c r="AH22">
        <v>0</v>
      </c>
      <c r="AI22" t="s">
        <v>80</v>
      </c>
      <c r="AJ22" t="s">
        <v>69</v>
      </c>
      <c r="AK22" t="s">
        <v>77</v>
      </c>
    </row>
    <row r="23" spans="1:37" x14ac:dyDescent="0.2">
      <c r="A23">
        <v>36</v>
      </c>
      <c r="B23" t="s">
        <v>35</v>
      </c>
      <c r="C23" t="s">
        <v>67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v>1</v>
      </c>
      <c r="AH23">
        <v>0</v>
      </c>
      <c r="AI23" t="s">
        <v>68</v>
      </c>
      <c r="AJ23" t="s">
        <v>69</v>
      </c>
      <c r="AK23" t="s">
        <v>70</v>
      </c>
    </row>
    <row r="24" spans="1:37" x14ac:dyDescent="0.2">
      <c r="A24">
        <v>34</v>
      </c>
      <c r="B24" t="s">
        <v>43</v>
      </c>
      <c r="C24" t="s">
        <v>67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v>0</v>
      </c>
      <c r="AH24">
        <v>0</v>
      </c>
      <c r="AI24" t="s">
        <v>76</v>
      </c>
      <c r="AJ24" t="s">
        <v>81</v>
      </c>
      <c r="AK24" t="s">
        <v>73</v>
      </c>
    </row>
    <row r="25" spans="1:37" x14ac:dyDescent="0.2">
      <c r="A25">
        <v>21</v>
      </c>
      <c r="B25" t="s">
        <v>43</v>
      </c>
      <c r="C25" t="s">
        <v>67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80</v>
      </c>
      <c r="AJ25" t="s">
        <v>74</v>
      </c>
      <c r="AK25" t="s">
        <v>75</v>
      </c>
    </row>
    <row r="26" spans="1:37" x14ac:dyDescent="0.2">
      <c r="A26">
        <v>34</v>
      </c>
      <c r="B26" t="s">
        <v>35</v>
      </c>
      <c r="C26" t="s">
        <v>67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v>1</v>
      </c>
      <c r="AH26">
        <v>0</v>
      </c>
      <c r="AI26" t="s">
        <v>76</v>
      </c>
      <c r="AJ26" t="s">
        <v>74</v>
      </c>
      <c r="AK26" t="s">
        <v>77</v>
      </c>
    </row>
    <row r="27" spans="1:37" x14ac:dyDescent="0.2">
      <c r="A27">
        <v>53</v>
      </c>
      <c r="B27" t="s">
        <v>43</v>
      </c>
      <c r="C27" t="s">
        <v>67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10735</v>
      </c>
      <c r="T27">
        <v>4</v>
      </c>
      <c r="U27" t="s">
        <v>43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v>0</v>
      </c>
      <c r="AH27">
        <v>0</v>
      </c>
      <c r="AI27" t="s">
        <v>72</v>
      </c>
      <c r="AJ27" t="s">
        <v>81</v>
      </c>
      <c r="AK27" t="s">
        <v>73</v>
      </c>
    </row>
    <row r="28" spans="1:37" x14ac:dyDescent="0.2">
      <c r="A28">
        <v>32</v>
      </c>
      <c r="B28" t="s">
        <v>35</v>
      </c>
      <c r="C28" t="s">
        <v>71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v>1</v>
      </c>
      <c r="AH28">
        <v>1</v>
      </c>
      <c r="AI28" t="s">
        <v>76</v>
      </c>
      <c r="AJ28" t="s">
        <v>69</v>
      </c>
      <c r="AK28" t="s">
        <v>73</v>
      </c>
    </row>
    <row r="29" spans="1:37" x14ac:dyDescent="0.2">
      <c r="A29">
        <v>42</v>
      </c>
      <c r="B29" t="s">
        <v>43</v>
      </c>
      <c r="C29" t="s">
        <v>67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21173</v>
      </c>
      <c r="T29">
        <v>0</v>
      </c>
      <c r="U29" t="s">
        <v>43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v>0</v>
      </c>
      <c r="AH29">
        <v>0</v>
      </c>
      <c r="AI29" t="s">
        <v>68</v>
      </c>
      <c r="AJ29" t="s">
        <v>79</v>
      </c>
      <c r="AK29" t="s">
        <v>70</v>
      </c>
    </row>
    <row r="30" spans="1:37" x14ac:dyDescent="0.2">
      <c r="A30">
        <v>44</v>
      </c>
      <c r="B30" t="s">
        <v>43</v>
      </c>
      <c r="C30" t="s">
        <v>67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2094</v>
      </c>
      <c r="T30">
        <v>3</v>
      </c>
      <c r="U30" t="s">
        <v>43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v>0</v>
      </c>
      <c r="AH30">
        <v>0</v>
      </c>
      <c r="AI30" t="s">
        <v>68</v>
      </c>
      <c r="AJ30" t="s">
        <v>81</v>
      </c>
      <c r="AK30" t="s">
        <v>73</v>
      </c>
    </row>
    <row r="31" spans="1:37" x14ac:dyDescent="0.2">
      <c r="A31">
        <v>46</v>
      </c>
      <c r="B31" t="s">
        <v>43</v>
      </c>
      <c r="C31" t="s">
        <v>67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v>0</v>
      </c>
      <c r="AH31">
        <v>0</v>
      </c>
      <c r="AI31" t="s">
        <v>72</v>
      </c>
      <c r="AJ31" t="s">
        <v>81</v>
      </c>
      <c r="AK31" t="s">
        <v>77</v>
      </c>
    </row>
    <row r="32" spans="1:37" x14ac:dyDescent="0.2">
      <c r="A32">
        <v>33</v>
      </c>
      <c r="B32" t="s">
        <v>43</v>
      </c>
      <c r="C32" t="s">
        <v>67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 t="s">
        <v>76</v>
      </c>
      <c r="AJ32" t="s">
        <v>74</v>
      </c>
      <c r="AK32" t="s">
        <v>75</v>
      </c>
    </row>
    <row r="33" spans="1:37" x14ac:dyDescent="0.2">
      <c r="A33">
        <v>44</v>
      </c>
      <c r="B33" t="s">
        <v>43</v>
      </c>
      <c r="C33" t="s">
        <v>67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v>0</v>
      </c>
      <c r="AH33">
        <v>1</v>
      </c>
      <c r="AI33" t="s">
        <v>68</v>
      </c>
      <c r="AJ33" t="s">
        <v>79</v>
      </c>
      <c r="AK33" t="s">
        <v>77</v>
      </c>
    </row>
    <row r="34" spans="1:37" x14ac:dyDescent="0.2">
      <c r="A34">
        <v>30</v>
      </c>
      <c r="B34" t="s">
        <v>43</v>
      </c>
      <c r="C34" t="s">
        <v>67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v>0</v>
      </c>
      <c r="AH34">
        <v>0</v>
      </c>
      <c r="AI34" t="s">
        <v>76</v>
      </c>
      <c r="AJ34" t="s">
        <v>74</v>
      </c>
      <c r="AK34" t="s">
        <v>73</v>
      </c>
    </row>
    <row r="35" spans="1:37" x14ac:dyDescent="0.2">
      <c r="A35">
        <v>39</v>
      </c>
      <c r="B35" t="s">
        <v>35</v>
      </c>
      <c r="C35" t="s">
        <v>67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 t="s">
        <v>68</v>
      </c>
      <c r="AJ35" t="s">
        <v>74</v>
      </c>
      <c r="AK35" t="s">
        <v>75</v>
      </c>
    </row>
    <row r="36" spans="1:37" x14ac:dyDescent="0.2">
      <c r="A36">
        <v>24</v>
      </c>
      <c r="B36" t="s">
        <v>35</v>
      </c>
      <c r="C36" t="s">
        <v>67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v>1</v>
      </c>
      <c r="AH36">
        <v>1</v>
      </c>
      <c r="AI36" t="s">
        <v>80</v>
      </c>
      <c r="AJ36" t="s">
        <v>74</v>
      </c>
      <c r="AK36" t="s">
        <v>77</v>
      </c>
    </row>
    <row r="37" spans="1:37" x14ac:dyDescent="0.2">
      <c r="A37">
        <v>43</v>
      </c>
      <c r="B37" t="s">
        <v>43</v>
      </c>
      <c r="C37" t="s">
        <v>67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v>0</v>
      </c>
      <c r="AH37">
        <v>0</v>
      </c>
      <c r="AI37" t="s">
        <v>68</v>
      </c>
      <c r="AJ37" t="s">
        <v>74</v>
      </c>
      <c r="AK37" t="s">
        <v>70</v>
      </c>
    </row>
    <row r="38" spans="1:37" x14ac:dyDescent="0.2">
      <c r="A38">
        <v>50</v>
      </c>
      <c r="B38" t="s">
        <v>35</v>
      </c>
      <c r="C38" t="s">
        <v>67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v>1</v>
      </c>
      <c r="AH38">
        <v>1</v>
      </c>
      <c r="AI38" t="s">
        <v>72</v>
      </c>
      <c r="AJ38" t="s">
        <v>74</v>
      </c>
      <c r="AK38" t="s">
        <v>77</v>
      </c>
    </row>
    <row r="39" spans="1:37" x14ac:dyDescent="0.2">
      <c r="A39">
        <v>35</v>
      </c>
      <c r="B39" t="s">
        <v>43</v>
      </c>
      <c r="C39" t="s">
        <v>67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v>0</v>
      </c>
      <c r="AH39">
        <v>0</v>
      </c>
      <c r="AI39" t="s">
        <v>68</v>
      </c>
      <c r="AJ39" t="s">
        <v>74</v>
      </c>
      <c r="AK39" t="s">
        <v>77</v>
      </c>
    </row>
    <row r="40" spans="1:37" x14ac:dyDescent="0.2">
      <c r="A40">
        <v>36</v>
      </c>
      <c r="B40" t="s">
        <v>43</v>
      </c>
      <c r="C40" t="s">
        <v>67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1</v>
      </c>
      <c r="AI40" t="s">
        <v>68</v>
      </c>
      <c r="AJ40" t="s">
        <v>69</v>
      </c>
      <c r="AK40" t="s">
        <v>75</v>
      </c>
    </row>
    <row r="41" spans="1:37" x14ac:dyDescent="0.2">
      <c r="A41">
        <v>33</v>
      </c>
      <c r="B41" t="s">
        <v>43</v>
      </c>
      <c r="C41" t="s">
        <v>71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v>0</v>
      </c>
      <c r="AH41">
        <v>0</v>
      </c>
      <c r="AI41" t="s">
        <v>76</v>
      </c>
      <c r="AJ41" t="s">
        <v>69</v>
      </c>
      <c r="AK41" t="s">
        <v>70</v>
      </c>
    </row>
    <row r="42" spans="1:37" x14ac:dyDescent="0.2">
      <c r="A42">
        <v>35</v>
      </c>
      <c r="B42" t="s">
        <v>43</v>
      </c>
      <c r="C42" t="s">
        <v>67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68</v>
      </c>
      <c r="AJ42" t="s">
        <v>74</v>
      </c>
      <c r="AK42" t="s">
        <v>75</v>
      </c>
    </row>
    <row r="43" spans="1:37" x14ac:dyDescent="0.2">
      <c r="A43">
        <v>27</v>
      </c>
      <c r="B43" t="s">
        <v>43</v>
      </c>
      <c r="C43" t="s">
        <v>67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76</v>
      </c>
      <c r="AJ43" t="s">
        <v>74</v>
      </c>
      <c r="AK43" t="s">
        <v>75</v>
      </c>
    </row>
    <row r="44" spans="1:37" x14ac:dyDescent="0.2">
      <c r="A44">
        <v>26</v>
      </c>
      <c r="B44" t="s">
        <v>35</v>
      </c>
      <c r="C44" t="s">
        <v>67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v>1</v>
      </c>
      <c r="AH44">
        <v>0</v>
      </c>
      <c r="AI44" t="s">
        <v>76</v>
      </c>
      <c r="AJ44" t="s">
        <v>74</v>
      </c>
      <c r="AK44" t="s">
        <v>75</v>
      </c>
    </row>
    <row r="45" spans="1:37" x14ac:dyDescent="0.2">
      <c r="A45">
        <v>27</v>
      </c>
      <c r="B45" t="s">
        <v>43</v>
      </c>
      <c r="C45" t="s">
        <v>71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v>0</v>
      </c>
      <c r="AH45">
        <v>0</v>
      </c>
      <c r="AI45" t="s">
        <v>76</v>
      </c>
      <c r="AJ45" t="s">
        <v>79</v>
      </c>
      <c r="AK45" t="s">
        <v>70</v>
      </c>
    </row>
    <row r="46" spans="1:37" x14ac:dyDescent="0.2">
      <c r="A46">
        <v>30</v>
      </c>
      <c r="B46" t="s">
        <v>43</v>
      </c>
      <c r="C46" t="s">
        <v>71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v>0</v>
      </c>
      <c r="AH46">
        <v>0</v>
      </c>
      <c r="AI46" t="s">
        <v>76</v>
      </c>
      <c r="AJ46" t="s">
        <v>69</v>
      </c>
      <c r="AK46" t="s">
        <v>73</v>
      </c>
    </row>
    <row r="47" spans="1:37" x14ac:dyDescent="0.2">
      <c r="A47">
        <v>41</v>
      </c>
      <c r="B47" t="s">
        <v>35</v>
      </c>
      <c r="C47" t="s">
        <v>67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v>1</v>
      </c>
      <c r="AH47">
        <v>0</v>
      </c>
      <c r="AI47" t="s">
        <v>68</v>
      </c>
      <c r="AJ47" t="s">
        <v>81</v>
      </c>
      <c r="AK47" t="s">
        <v>73</v>
      </c>
    </row>
    <row r="48" spans="1:37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v>0</v>
      </c>
      <c r="AH48">
        <v>0</v>
      </c>
      <c r="AI48" t="s">
        <v>76</v>
      </c>
      <c r="AJ48" t="s">
        <v>69</v>
      </c>
      <c r="AK48" t="s">
        <v>70</v>
      </c>
    </row>
    <row r="49" spans="1:37" x14ac:dyDescent="0.2">
      <c r="A49">
        <v>37</v>
      </c>
      <c r="B49" t="s">
        <v>43</v>
      </c>
      <c r="C49" t="s">
        <v>67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68</v>
      </c>
      <c r="AJ49" t="s">
        <v>69</v>
      </c>
      <c r="AK49" t="s">
        <v>75</v>
      </c>
    </row>
    <row r="50" spans="1:37" x14ac:dyDescent="0.2">
      <c r="A50">
        <v>46</v>
      </c>
      <c r="B50" t="s">
        <v>43</v>
      </c>
      <c r="C50" t="s">
        <v>71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v>0</v>
      </c>
      <c r="AH50">
        <v>1</v>
      </c>
      <c r="AI50" t="s">
        <v>72</v>
      </c>
      <c r="AJ50" t="s">
        <v>69</v>
      </c>
      <c r="AK50" t="s">
        <v>70</v>
      </c>
    </row>
    <row r="51" spans="1:37" x14ac:dyDescent="0.2">
      <c r="A51">
        <v>35</v>
      </c>
      <c r="B51" t="s">
        <v>43</v>
      </c>
      <c r="C51" t="s">
        <v>67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 t="s">
        <v>68</v>
      </c>
      <c r="AJ51" t="s">
        <v>74</v>
      </c>
      <c r="AK51" t="s">
        <v>75</v>
      </c>
    </row>
    <row r="52" spans="1:37" x14ac:dyDescent="0.2">
      <c r="A52">
        <v>48</v>
      </c>
      <c r="B52" t="s">
        <v>35</v>
      </c>
      <c r="C52" t="s">
        <v>67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1</v>
      </c>
      <c r="AI52" t="s">
        <v>72</v>
      </c>
      <c r="AJ52" t="s">
        <v>69</v>
      </c>
      <c r="AK52" t="s">
        <v>75</v>
      </c>
    </row>
    <row r="53" spans="1:37" x14ac:dyDescent="0.2">
      <c r="A53">
        <v>28</v>
      </c>
      <c r="B53" t="s">
        <v>35</v>
      </c>
      <c r="C53" t="s">
        <v>67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1</v>
      </c>
      <c r="AH53">
        <v>1</v>
      </c>
      <c r="AI53" t="s">
        <v>76</v>
      </c>
      <c r="AJ53" t="s">
        <v>69</v>
      </c>
      <c r="AK53" t="s">
        <v>77</v>
      </c>
    </row>
    <row r="54" spans="1:37" x14ac:dyDescent="0.2">
      <c r="A54">
        <v>44</v>
      </c>
      <c r="B54" t="s">
        <v>43</v>
      </c>
      <c r="C54" t="s">
        <v>67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v>0</v>
      </c>
      <c r="AH54">
        <v>1</v>
      </c>
      <c r="AI54" t="s">
        <v>68</v>
      </c>
      <c r="AJ54" t="s">
        <v>69</v>
      </c>
      <c r="AK54" t="s">
        <v>77</v>
      </c>
    </row>
    <row r="55" spans="1:37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v>0</v>
      </c>
      <c r="AH55">
        <v>1</v>
      </c>
      <c r="AI55" t="s">
        <v>68</v>
      </c>
      <c r="AJ55" t="s">
        <v>79</v>
      </c>
      <c r="AK55" t="s">
        <v>77</v>
      </c>
    </row>
    <row r="56" spans="1:37" x14ac:dyDescent="0.2">
      <c r="A56">
        <v>26</v>
      </c>
      <c r="B56" t="s">
        <v>43</v>
      </c>
      <c r="C56" t="s">
        <v>67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v>0</v>
      </c>
      <c r="AH56">
        <v>1</v>
      </c>
      <c r="AI56" t="s">
        <v>76</v>
      </c>
      <c r="AJ56" t="s">
        <v>69</v>
      </c>
      <c r="AK56" t="s">
        <v>77</v>
      </c>
    </row>
    <row r="57" spans="1:37" x14ac:dyDescent="0.2">
      <c r="A57">
        <v>33</v>
      </c>
      <c r="B57" t="s">
        <v>43</v>
      </c>
      <c r="C57" t="s">
        <v>71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v>0</v>
      </c>
      <c r="AH57">
        <v>1</v>
      </c>
      <c r="AI57" t="s">
        <v>76</v>
      </c>
      <c r="AJ57" t="s">
        <v>81</v>
      </c>
      <c r="AK57" t="s">
        <v>73</v>
      </c>
    </row>
    <row r="58" spans="1:37" x14ac:dyDescent="0.2">
      <c r="A58">
        <v>35</v>
      </c>
      <c r="B58" t="s">
        <v>43</v>
      </c>
      <c r="C58" t="s">
        <v>71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v>0</v>
      </c>
      <c r="AH58">
        <v>0</v>
      </c>
      <c r="AI58" t="s">
        <v>68</v>
      </c>
      <c r="AJ58" t="s">
        <v>79</v>
      </c>
      <c r="AK58" t="s">
        <v>70</v>
      </c>
    </row>
    <row r="59" spans="1:37" x14ac:dyDescent="0.2">
      <c r="A59">
        <v>35</v>
      </c>
      <c r="B59" t="s">
        <v>43</v>
      </c>
      <c r="C59" t="s">
        <v>67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v>0</v>
      </c>
      <c r="AH59">
        <v>1</v>
      </c>
      <c r="AI59" t="s">
        <v>68</v>
      </c>
      <c r="AJ59" t="s">
        <v>69</v>
      </c>
      <c r="AK59" t="s">
        <v>77</v>
      </c>
    </row>
    <row r="60" spans="1:37" x14ac:dyDescent="0.2">
      <c r="A60">
        <v>31</v>
      </c>
      <c r="B60" t="s">
        <v>43</v>
      </c>
      <c r="C60" t="s">
        <v>67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v>0</v>
      </c>
      <c r="AH60">
        <v>0</v>
      </c>
      <c r="AI60" t="s">
        <v>76</v>
      </c>
      <c r="AJ60" t="s">
        <v>69</v>
      </c>
      <c r="AK60" t="s">
        <v>70</v>
      </c>
    </row>
    <row r="61" spans="1:37" x14ac:dyDescent="0.2">
      <c r="A61">
        <v>37</v>
      </c>
      <c r="B61" t="s">
        <v>43</v>
      </c>
      <c r="C61" t="s">
        <v>67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v>0</v>
      </c>
      <c r="AH61">
        <v>0</v>
      </c>
      <c r="AI61" t="s">
        <v>68</v>
      </c>
      <c r="AJ61" t="s">
        <v>69</v>
      </c>
      <c r="AK61" t="s">
        <v>70</v>
      </c>
    </row>
    <row r="62" spans="1:37" x14ac:dyDescent="0.2">
      <c r="A62">
        <v>32</v>
      </c>
      <c r="B62" t="s">
        <v>43</v>
      </c>
      <c r="C62" t="s">
        <v>67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v>0</v>
      </c>
      <c r="AH62">
        <v>1</v>
      </c>
      <c r="AI62" t="s">
        <v>76</v>
      </c>
      <c r="AJ62" t="s">
        <v>79</v>
      </c>
      <c r="AK62" t="s">
        <v>70</v>
      </c>
    </row>
    <row r="63" spans="1:37" x14ac:dyDescent="0.2">
      <c r="A63">
        <v>38</v>
      </c>
      <c r="B63" t="s">
        <v>43</v>
      </c>
      <c r="C63" t="s">
        <v>71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v>0</v>
      </c>
      <c r="AH63">
        <v>0</v>
      </c>
      <c r="AI63" t="s">
        <v>68</v>
      </c>
      <c r="AJ63" t="s">
        <v>74</v>
      </c>
      <c r="AK63" t="s">
        <v>73</v>
      </c>
    </row>
    <row r="64" spans="1:37" x14ac:dyDescent="0.2">
      <c r="A64">
        <v>50</v>
      </c>
      <c r="B64" t="s">
        <v>43</v>
      </c>
      <c r="C64" t="s">
        <v>67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v>0</v>
      </c>
      <c r="AH64">
        <v>1</v>
      </c>
      <c r="AI64" t="s">
        <v>72</v>
      </c>
      <c r="AJ64" t="s">
        <v>81</v>
      </c>
      <c r="AK64" t="s">
        <v>73</v>
      </c>
    </row>
    <row r="65" spans="1:37" x14ac:dyDescent="0.2">
      <c r="A65">
        <v>59</v>
      </c>
      <c r="B65" t="s">
        <v>43</v>
      </c>
      <c r="C65" t="s">
        <v>67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v>0</v>
      </c>
      <c r="AH65">
        <v>0</v>
      </c>
      <c r="AI65" t="s">
        <v>78</v>
      </c>
      <c r="AJ65" t="s">
        <v>79</v>
      </c>
      <c r="AK65" t="s">
        <v>73</v>
      </c>
    </row>
    <row r="66" spans="1:37" x14ac:dyDescent="0.2">
      <c r="A66">
        <v>36</v>
      </c>
      <c r="B66" t="s">
        <v>43</v>
      </c>
      <c r="C66" t="s">
        <v>67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v>0</v>
      </c>
      <c r="AH66">
        <v>0</v>
      </c>
      <c r="AI66" t="s">
        <v>68</v>
      </c>
      <c r="AJ66" t="s">
        <v>81</v>
      </c>
      <c r="AK66" t="s">
        <v>73</v>
      </c>
    </row>
    <row r="67" spans="1:37" x14ac:dyDescent="0.2">
      <c r="A67">
        <v>55</v>
      </c>
      <c r="B67" t="s">
        <v>43</v>
      </c>
      <c r="C67" t="s">
        <v>67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v>0</v>
      </c>
      <c r="AH67">
        <v>1</v>
      </c>
      <c r="AI67" t="s">
        <v>78</v>
      </c>
      <c r="AJ67" t="s">
        <v>81</v>
      </c>
      <c r="AK67" t="s">
        <v>70</v>
      </c>
    </row>
    <row r="68" spans="1:37" x14ac:dyDescent="0.2">
      <c r="A68">
        <v>36</v>
      </c>
      <c r="B68" t="s">
        <v>43</v>
      </c>
      <c r="C68" t="s">
        <v>71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v>0</v>
      </c>
      <c r="AH68">
        <v>0</v>
      </c>
      <c r="AI68" t="s">
        <v>68</v>
      </c>
      <c r="AJ68" t="s">
        <v>79</v>
      </c>
      <c r="AK68" t="s">
        <v>70</v>
      </c>
    </row>
    <row r="69" spans="1:37" x14ac:dyDescent="0.2">
      <c r="A69">
        <v>45</v>
      </c>
      <c r="B69" t="s">
        <v>43</v>
      </c>
      <c r="C69" t="s">
        <v>67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72</v>
      </c>
      <c r="AJ69" t="s">
        <v>79</v>
      </c>
      <c r="AK69" t="s">
        <v>75</v>
      </c>
    </row>
    <row r="70" spans="1:37" x14ac:dyDescent="0.2">
      <c r="A70">
        <v>35</v>
      </c>
      <c r="B70" t="s">
        <v>43</v>
      </c>
      <c r="C70" t="s">
        <v>71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v>0</v>
      </c>
      <c r="AH70">
        <v>0</v>
      </c>
      <c r="AI70" t="s">
        <v>68</v>
      </c>
      <c r="AJ70" t="s">
        <v>74</v>
      </c>
      <c r="AK70" t="s">
        <v>77</v>
      </c>
    </row>
    <row r="71" spans="1:37" x14ac:dyDescent="0.2">
      <c r="A71">
        <v>36</v>
      </c>
      <c r="B71" t="s">
        <v>35</v>
      </c>
      <c r="C71" t="s">
        <v>67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1</v>
      </c>
      <c r="AI71" t="s">
        <v>68</v>
      </c>
      <c r="AJ71" t="s">
        <v>69</v>
      </c>
      <c r="AK71" t="s">
        <v>75</v>
      </c>
    </row>
    <row r="72" spans="1:37" x14ac:dyDescent="0.2">
      <c r="A72">
        <v>59</v>
      </c>
      <c r="B72" t="s">
        <v>43</v>
      </c>
      <c r="C72" t="s">
        <v>71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v>0</v>
      </c>
      <c r="AH72">
        <v>0</v>
      </c>
      <c r="AI72" t="s">
        <v>78</v>
      </c>
      <c r="AJ72" t="s">
        <v>69</v>
      </c>
      <c r="AK72" t="s">
        <v>77</v>
      </c>
    </row>
    <row r="73" spans="1:37" x14ac:dyDescent="0.2">
      <c r="A73">
        <v>29</v>
      </c>
      <c r="B73" t="s">
        <v>43</v>
      </c>
      <c r="C73" t="s">
        <v>67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v>0</v>
      </c>
      <c r="AH73">
        <v>0</v>
      </c>
      <c r="AI73" t="s">
        <v>76</v>
      </c>
      <c r="AJ73" t="s">
        <v>74</v>
      </c>
      <c r="AK73" t="s">
        <v>70</v>
      </c>
    </row>
    <row r="74" spans="1:37" x14ac:dyDescent="0.2">
      <c r="A74">
        <v>31</v>
      </c>
      <c r="B74" t="s">
        <v>43</v>
      </c>
      <c r="C74" t="s">
        <v>67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 t="s">
        <v>76</v>
      </c>
      <c r="AJ74" t="s">
        <v>74</v>
      </c>
      <c r="AK74" t="s">
        <v>75</v>
      </c>
    </row>
    <row r="75" spans="1:37" x14ac:dyDescent="0.2">
      <c r="A75">
        <v>32</v>
      </c>
      <c r="B75" t="s">
        <v>43</v>
      </c>
      <c r="C75" t="s">
        <v>67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v>0</v>
      </c>
      <c r="AH75">
        <v>0</v>
      </c>
      <c r="AI75" t="s">
        <v>76</v>
      </c>
      <c r="AJ75" t="s">
        <v>79</v>
      </c>
      <c r="AK75" t="s">
        <v>73</v>
      </c>
    </row>
    <row r="76" spans="1:37" x14ac:dyDescent="0.2">
      <c r="A76">
        <v>36</v>
      </c>
      <c r="B76" t="s">
        <v>43</v>
      </c>
      <c r="C76" t="s">
        <v>67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68</v>
      </c>
      <c r="AJ76" t="s">
        <v>69</v>
      </c>
      <c r="AK76" t="s">
        <v>75</v>
      </c>
    </row>
    <row r="77" spans="1:37" x14ac:dyDescent="0.2">
      <c r="A77">
        <v>31</v>
      </c>
      <c r="B77" t="s">
        <v>43</v>
      </c>
      <c r="C77" t="s">
        <v>67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v>0</v>
      </c>
      <c r="AH77">
        <v>0</v>
      </c>
      <c r="AI77" t="s">
        <v>76</v>
      </c>
      <c r="AJ77" t="s">
        <v>69</v>
      </c>
      <c r="AK77" t="s">
        <v>73</v>
      </c>
    </row>
    <row r="78" spans="1:37" x14ac:dyDescent="0.2">
      <c r="A78">
        <v>35</v>
      </c>
      <c r="B78" t="s">
        <v>43</v>
      </c>
      <c r="C78" t="s">
        <v>67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v>0</v>
      </c>
      <c r="AH78">
        <v>0</v>
      </c>
      <c r="AI78" t="s">
        <v>68</v>
      </c>
      <c r="AJ78" t="s">
        <v>69</v>
      </c>
      <c r="AK78" t="s">
        <v>73</v>
      </c>
    </row>
    <row r="79" spans="1:37" x14ac:dyDescent="0.2">
      <c r="A79">
        <v>45</v>
      </c>
      <c r="B79" t="s">
        <v>43</v>
      </c>
      <c r="C79" t="s">
        <v>67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 t="s">
        <v>72</v>
      </c>
      <c r="AJ79" t="s">
        <v>81</v>
      </c>
      <c r="AK79" t="s">
        <v>75</v>
      </c>
    </row>
    <row r="80" spans="1:37" x14ac:dyDescent="0.2">
      <c r="A80">
        <v>37</v>
      </c>
      <c r="B80" t="s">
        <v>43</v>
      </c>
      <c r="C80" t="s">
        <v>67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v>0</v>
      </c>
      <c r="AH80">
        <v>0</v>
      </c>
      <c r="AI80" t="s">
        <v>68</v>
      </c>
      <c r="AJ80" t="s">
        <v>81</v>
      </c>
      <c r="AK80" t="s">
        <v>70</v>
      </c>
    </row>
    <row r="81" spans="1:37" x14ac:dyDescent="0.2">
      <c r="A81">
        <v>46</v>
      </c>
      <c r="B81" t="s">
        <v>43</v>
      </c>
      <c r="C81" t="s">
        <v>67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v>0</v>
      </c>
      <c r="AH81">
        <v>1</v>
      </c>
      <c r="AI81" t="s">
        <v>72</v>
      </c>
      <c r="AJ81" t="s">
        <v>69</v>
      </c>
      <c r="AK81" t="s">
        <v>77</v>
      </c>
    </row>
    <row r="82" spans="1:37" x14ac:dyDescent="0.2">
      <c r="A82">
        <v>30</v>
      </c>
      <c r="B82" t="s">
        <v>43</v>
      </c>
      <c r="C82" t="s">
        <v>67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v>0</v>
      </c>
      <c r="AH82">
        <v>1</v>
      </c>
      <c r="AI82" t="s">
        <v>76</v>
      </c>
      <c r="AJ82" t="s">
        <v>69</v>
      </c>
      <c r="AK82" t="s">
        <v>73</v>
      </c>
    </row>
    <row r="83" spans="1:37" x14ac:dyDescent="0.2">
      <c r="A83">
        <v>35</v>
      </c>
      <c r="B83" t="s">
        <v>43</v>
      </c>
      <c r="C83" t="s">
        <v>67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v>0</v>
      </c>
      <c r="AH83">
        <v>0</v>
      </c>
      <c r="AI83" t="s">
        <v>68</v>
      </c>
      <c r="AJ83" t="s">
        <v>74</v>
      </c>
      <c r="AK83" t="s">
        <v>70</v>
      </c>
    </row>
    <row r="84" spans="1:37" x14ac:dyDescent="0.2">
      <c r="A84">
        <v>55</v>
      </c>
      <c r="B84" t="s">
        <v>43</v>
      </c>
      <c r="C84" t="s">
        <v>67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 t="s">
        <v>78</v>
      </c>
      <c r="AJ84" t="s">
        <v>81</v>
      </c>
      <c r="AK84" t="s">
        <v>75</v>
      </c>
    </row>
    <row r="85" spans="1:37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v>0</v>
      </c>
      <c r="AH85">
        <v>1</v>
      </c>
      <c r="AI85" t="s">
        <v>68</v>
      </c>
      <c r="AJ85" t="s">
        <v>69</v>
      </c>
      <c r="AK85" t="s">
        <v>73</v>
      </c>
    </row>
    <row r="86" spans="1:37" x14ac:dyDescent="0.2">
      <c r="A86">
        <v>34</v>
      </c>
      <c r="B86" t="s">
        <v>43</v>
      </c>
      <c r="C86" t="s">
        <v>67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v>0</v>
      </c>
      <c r="AH86">
        <v>0</v>
      </c>
      <c r="AI86" t="s">
        <v>76</v>
      </c>
      <c r="AJ86" t="s">
        <v>69</v>
      </c>
      <c r="AK86" t="s">
        <v>70</v>
      </c>
    </row>
    <row r="87" spans="1:37" x14ac:dyDescent="0.2">
      <c r="A87">
        <v>56</v>
      </c>
      <c r="B87" t="s">
        <v>43</v>
      </c>
      <c r="C87" t="s">
        <v>67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v>0</v>
      </c>
      <c r="AH87">
        <v>0</v>
      </c>
      <c r="AI87" t="s">
        <v>78</v>
      </c>
      <c r="AJ87" t="s">
        <v>79</v>
      </c>
      <c r="AK87" t="s">
        <v>70</v>
      </c>
    </row>
    <row r="88" spans="1:37" x14ac:dyDescent="0.2">
      <c r="A88">
        <v>23</v>
      </c>
      <c r="B88" t="s">
        <v>43</v>
      </c>
      <c r="C88" t="s">
        <v>67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80</v>
      </c>
      <c r="AJ88" t="s">
        <v>74</v>
      </c>
      <c r="AK88" t="s">
        <v>75</v>
      </c>
    </row>
    <row r="89" spans="1:37" x14ac:dyDescent="0.2">
      <c r="A89">
        <v>51</v>
      </c>
      <c r="B89" t="s">
        <v>43</v>
      </c>
      <c r="C89" t="s">
        <v>67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v>0</v>
      </c>
      <c r="AH89">
        <v>0</v>
      </c>
      <c r="AI89" t="s">
        <v>72</v>
      </c>
      <c r="AJ89" t="s">
        <v>74</v>
      </c>
      <c r="AK89" t="s">
        <v>77</v>
      </c>
    </row>
    <row r="90" spans="1:37" x14ac:dyDescent="0.2">
      <c r="A90">
        <v>30</v>
      </c>
      <c r="B90" t="s">
        <v>43</v>
      </c>
      <c r="C90" t="s">
        <v>67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v>0</v>
      </c>
      <c r="AH90">
        <v>0</v>
      </c>
      <c r="AI90" t="s">
        <v>76</v>
      </c>
      <c r="AJ90" t="s">
        <v>69</v>
      </c>
      <c r="AK90" t="s">
        <v>73</v>
      </c>
    </row>
    <row r="91" spans="1:37" x14ac:dyDescent="0.2">
      <c r="A91">
        <v>46</v>
      </c>
      <c r="B91" t="s">
        <v>35</v>
      </c>
      <c r="C91" t="s">
        <v>67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v>1</v>
      </c>
      <c r="AH91">
        <v>0</v>
      </c>
      <c r="AI91" t="s">
        <v>72</v>
      </c>
      <c r="AJ91" t="s">
        <v>79</v>
      </c>
      <c r="AK91" t="s">
        <v>70</v>
      </c>
    </row>
    <row r="92" spans="1:37" x14ac:dyDescent="0.2">
      <c r="A92">
        <v>40</v>
      </c>
      <c r="B92" t="s">
        <v>43</v>
      </c>
      <c r="C92" t="s">
        <v>71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v>0</v>
      </c>
      <c r="AH92">
        <v>0</v>
      </c>
      <c r="AI92" t="s">
        <v>68</v>
      </c>
      <c r="AJ92" t="s">
        <v>81</v>
      </c>
      <c r="AK92" t="s">
        <v>73</v>
      </c>
    </row>
    <row r="93" spans="1:37" x14ac:dyDescent="0.2">
      <c r="A93">
        <v>51</v>
      </c>
      <c r="B93" t="s">
        <v>43</v>
      </c>
      <c r="C93" t="s">
        <v>67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v>0</v>
      </c>
      <c r="AH93">
        <v>1</v>
      </c>
      <c r="AI93" t="s">
        <v>72</v>
      </c>
      <c r="AJ93" t="s">
        <v>69</v>
      </c>
      <c r="AK93" t="s">
        <v>73</v>
      </c>
    </row>
    <row r="94" spans="1:37" x14ac:dyDescent="0.2">
      <c r="A94">
        <v>30</v>
      </c>
      <c r="B94" t="s">
        <v>43</v>
      </c>
      <c r="C94" t="s">
        <v>67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v>0</v>
      </c>
      <c r="AH94">
        <v>1</v>
      </c>
      <c r="AI94" t="s">
        <v>76</v>
      </c>
      <c r="AJ94" t="s">
        <v>69</v>
      </c>
      <c r="AK94" t="s">
        <v>73</v>
      </c>
    </row>
    <row r="95" spans="1:37" x14ac:dyDescent="0.2">
      <c r="A95">
        <v>46</v>
      </c>
      <c r="B95" t="s">
        <v>43</v>
      </c>
      <c r="C95" t="s">
        <v>71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v>0</v>
      </c>
      <c r="AH95">
        <v>1</v>
      </c>
      <c r="AI95" t="s">
        <v>72</v>
      </c>
      <c r="AJ95" t="s">
        <v>81</v>
      </c>
      <c r="AK95" t="s">
        <v>73</v>
      </c>
    </row>
    <row r="96" spans="1:37" x14ac:dyDescent="0.2">
      <c r="A96">
        <v>32</v>
      </c>
      <c r="B96" t="s">
        <v>43</v>
      </c>
      <c r="C96" t="s">
        <v>67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v>0</v>
      </c>
      <c r="AH96">
        <v>0</v>
      </c>
      <c r="AI96" t="s">
        <v>76</v>
      </c>
      <c r="AJ96" t="s">
        <v>69</v>
      </c>
      <c r="AK96" t="s">
        <v>73</v>
      </c>
    </row>
    <row r="97" spans="1:37" x14ac:dyDescent="0.2">
      <c r="A97">
        <v>54</v>
      </c>
      <c r="B97" t="s">
        <v>43</v>
      </c>
      <c r="C97" t="s">
        <v>67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v>0</v>
      </c>
      <c r="AH97">
        <v>0</v>
      </c>
      <c r="AI97" t="s">
        <v>72</v>
      </c>
      <c r="AJ97" t="s">
        <v>81</v>
      </c>
      <c r="AK97" t="s">
        <v>77</v>
      </c>
    </row>
    <row r="98" spans="1:37" x14ac:dyDescent="0.2">
      <c r="A98">
        <v>24</v>
      </c>
      <c r="B98" t="s">
        <v>43</v>
      </c>
      <c r="C98" t="s">
        <v>67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v>0</v>
      </c>
      <c r="AH98">
        <v>0</v>
      </c>
      <c r="AI98" t="s">
        <v>80</v>
      </c>
      <c r="AJ98" t="s">
        <v>69</v>
      </c>
      <c r="AK98" t="s">
        <v>77</v>
      </c>
    </row>
    <row r="99" spans="1:37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v>0</v>
      </c>
      <c r="AH99">
        <v>0</v>
      </c>
      <c r="AI99" t="s">
        <v>76</v>
      </c>
      <c r="AJ99" t="s">
        <v>69</v>
      </c>
      <c r="AK99" t="s">
        <v>70</v>
      </c>
    </row>
    <row r="100" spans="1:37" x14ac:dyDescent="0.2">
      <c r="A100">
        <v>58</v>
      </c>
      <c r="B100" t="s">
        <v>43</v>
      </c>
      <c r="C100" t="s">
        <v>67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v>0</v>
      </c>
      <c r="AH100">
        <v>0</v>
      </c>
      <c r="AI100" t="s">
        <v>78</v>
      </c>
      <c r="AJ100" t="s">
        <v>81</v>
      </c>
      <c r="AK100" t="s">
        <v>73</v>
      </c>
    </row>
    <row r="101" spans="1:37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v>0</v>
      </c>
      <c r="AH101">
        <v>0</v>
      </c>
      <c r="AI101" t="s">
        <v>68</v>
      </c>
      <c r="AJ101" t="s">
        <v>74</v>
      </c>
      <c r="AK101" t="s">
        <v>77</v>
      </c>
    </row>
    <row r="102" spans="1:37" x14ac:dyDescent="0.2">
      <c r="A102">
        <v>37</v>
      </c>
      <c r="B102" t="s">
        <v>35</v>
      </c>
      <c r="C102" t="s">
        <v>67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v>1</v>
      </c>
      <c r="AH102">
        <v>1</v>
      </c>
      <c r="AI102" t="s">
        <v>68</v>
      </c>
      <c r="AJ102" t="s">
        <v>74</v>
      </c>
      <c r="AK102" t="s">
        <v>77</v>
      </c>
    </row>
    <row r="103" spans="1:37" x14ac:dyDescent="0.2">
      <c r="A103">
        <v>32</v>
      </c>
      <c r="B103" t="s">
        <v>43</v>
      </c>
      <c r="C103" t="s">
        <v>67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76</v>
      </c>
      <c r="AJ103" t="s">
        <v>74</v>
      </c>
      <c r="AK103" t="s">
        <v>75</v>
      </c>
    </row>
    <row r="104" spans="1:37" x14ac:dyDescent="0.2">
      <c r="A104">
        <v>20</v>
      </c>
      <c r="B104" t="s">
        <v>35</v>
      </c>
      <c r="C104" t="s">
        <v>71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v>1</v>
      </c>
      <c r="AH104">
        <v>1</v>
      </c>
      <c r="AI104" t="s">
        <v>80</v>
      </c>
      <c r="AJ104" t="s">
        <v>74</v>
      </c>
      <c r="AK104" t="s">
        <v>75</v>
      </c>
    </row>
    <row r="105" spans="1:37" x14ac:dyDescent="0.2">
      <c r="A105">
        <v>34</v>
      </c>
      <c r="B105" t="s">
        <v>43</v>
      </c>
      <c r="C105" t="s">
        <v>67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v>0</v>
      </c>
      <c r="AH105">
        <v>0</v>
      </c>
      <c r="AI105" t="s">
        <v>76</v>
      </c>
      <c r="AJ105" t="s">
        <v>69</v>
      </c>
      <c r="AK105" t="s">
        <v>73</v>
      </c>
    </row>
    <row r="106" spans="1:37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68</v>
      </c>
      <c r="AJ106" t="s">
        <v>69</v>
      </c>
      <c r="AK106" t="s">
        <v>75</v>
      </c>
    </row>
    <row r="107" spans="1:37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v>0</v>
      </c>
      <c r="AH107">
        <v>0</v>
      </c>
      <c r="AI107" t="s">
        <v>78</v>
      </c>
      <c r="AJ107" t="s">
        <v>81</v>
      </c>
      <c r="AK107" t="s">
        <v>77</v>
      </c>
    </row>
    <row r="108" spans="1:37" x14ac:dyDescent="0.2">
      <c r="A108">
        <v>50</v>
      </c>
      <c r="B108" t="s">
        <v>43</v>
      </c>
      <c r="C108" t="s">
        <v>71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v>0</v>
      </c>
      <c r="AH108">
        <v>1</v>
      </c>
      <c r="AI108" t="s">
        <v>72</v>
      </c>
      <c r="AJ108" t="s">
        <v>81</v>
      </c>
      <c r="AK108" t="s">
        <v>70</v>
      </c>
    </row>
    <row r="109" spans="1:37" x14ac:dyDescent="0.2">
      <c r="A109">
        <v>25</v>
      </c>
      <c r="B109" t="s">
        <v>35</v>
      </c>
      <c r="C109" t="s">
        <v>67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v>1</v>
      </c>
      <c r="AH109">
        <v>1</v>
      </c>
      <c r="AI109" t="s">
        <v>76</v>
      </c>
      <c r="AJ109" t="s">
        <v>69</v>
      </c>
      <c r="AK109" t="s">
        <v>70</v>
      </c>
    </row>
    <row r="110" spans="1:37" x14ac:dyDescent="0.2">
      <c r="A110">
        <v>25</v>
      </c>
      <c r="B110" t="s">
        <v>43</v>
      </c>
      <c r="C110" t="s">
        <v>67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v>0</v>
      </c>
      <c r="AH110">
        <v>0</v>
      </c>
      <c r="AI110" t="s">
        <v>76</v>
      </c>
      <c r="AJ110" t="s">
        <v>74</v>
      </c>
      <c r="AK110" t="s">
        <v>77</v>
      </c>
    </row>
    <row r="111" spans="1:37" x14ac:dyDescent="0.2">
      <c r="A111">
        <v>22</v>
      </c>
      <c r="B111" t="s">
        <v>43</v>
      </c>
      <c r="C111" t="s">
        <v>67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80</v>
      </c>
      <c r="AJ111" t="s">
        <v>74</v>
      </c>
      <c r="AK111" t="s">
        <v>75</v>
      </c>
    </row>
    <row r="112" spans="1:37" x14ac:dyDescent="0.2">
      <c r="A112">
        <v>51</v>
      </c>
      <c r="B112" t="s">
        <v>43</v>
      </c>
      <c r="C112" t="s">
        <v>71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v>0</v>
      </c>
      <c r="AH112">
        <v>0</v>
      </c>
      <c r="AI112" t="s">
        <v>72</v>
      </c>
      <c r="AJ112" t="s">
        <v>79</v>
      </c>
      <c r="AK112" t="s">
        <v>73</v>
      </c>
    </row>
    <row r="113" spans="1:37" x14ac:dyDescent="0.2">
      <c r="A113">
        <v>34</v>
      </c>
      <c r="B113" t="s">
        <v>35</v>
      </c>
      <c r="C113" t="s">
        <v>71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v>1</v>
      </c>
      <c r="AH113">
        <v>1</v>
      </c>
      <c r="AI113" t="s">
        <v>76</v>
      </c>
      <c r="AJ113" t="s">
        <v>79</v>
      </c>
      <c r="AK113" t="s">
        <v>70</v>
      </c>
    </row>
    <row r="114" spans="1:37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v>0</v>
      </c>
      <c r="AH114">
        <v>1</v>
      </c>
      <c r="AI114" t="s">
        <v>72</v>
      </c>
      <c r="AJ114" t="s">
        <v>81</v>
      </c>
      <c r="AK114" t="s">
        <v>70</v>
      </c>
    </row>
    <row r="115" spans="1:37" x14ac:dyDescent="0.2">
      <c r="A115">
        <v>24</v>
      </c>
      <c r="B115" t="s">
        <v>43</v>
      </c>
      <c r="C115" t="s">
        <v>67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v>0</v>
      </c>
      <c r="AH115">
        <v>0</v>
      </c>
      <c r="AI115" t="s">
        <v>80</v>
      </c>
      <c r="AJ115" t="s">
        <v>74</v>
      </c>
      <c r="AK115" t="s">
        <v>70</v>
      </c>
    </row>
    <row r="116" spans="1:37" x14ac:dyDescent="0.2">
      <c r="A116">
        <v>34</v>
      </c>
      <c r="B116" t="s">
        <v>43</v>
      </c>
      <c r="C116" t="s">
        <v>67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76</v>
      </c>
      <c r="AJ116" t="s">
        <v>69</v>
      </c>
      <c r="AK116" t="s">
        <v>75</v>
      </c>
    </row>
    <row r="117" spans="1:37" x14ac:dyDescent="0.2">
      <c r="A117">
        <v>37</v>
      </c>
      <c r="B117" t="s">
        <v>43</v>
      </c>
      <c r="C117" t="s">
        <v>67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v>0</v>
      </c>
      <c r="AH117">
        <v>0</v>
      </c>
      <c r="AI117" t="s">
        <v>68</v>
      </c>
      <c r="AJ117" t="s">
        <v>79</v>
      </c>
      <c r="AK117" t="s">
        <v>70</v>
      </c>
    </row>
    <row r="118" spans="1:37" x14ac:dyDescent="0.2">
      <c r="A118">
        <v>34</v>
      </c>
      <c r="B118" t="s">
        <v>43</v>
      </c>
      <c r="C118" t="s">
        <v>67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v>0</v>
      </c>
      <c r="AH118">
        <v>0</v>
      </c>
      <c r="AI118" t="s">
        <v>76</v>
      </c>
      <c r="AJ118" t="s">
        <v>81</v>
      </c>
      <c r="AK118" t="s">
        <v>73</v>
      </c>
    </row>
    <row r="119" spans="1:37" x14ac:dyDescent="0.2">
      <c r="A119">
        <v>36</v>
      </c>
      <c r="B119" t="s">
        <v>43</v>
      </c>
      <c r="C119" t="s">
        <v>71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v>0</v>
      </c>
      <c r="AH119">
        <v>0</v>
      </c>
      <c r="AI119" t="s">
        <v>68</v>
      </c>
      <c r="AJ119" t="s">
        <v>79</v>
      </c>
      <c r="AK119" t="s">
        <v>70</v>
      </c>
    </row>
    <row r="120" spans="1:37" x14ac:dyDescent="0.2">
      <c r="A120">
        <v>36</v>
      </c>
      <c r="B120" t="s">
        <v>43</v>
      </c>
      <c r="C120" t="s">
        <v>67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68</v>
      </c>
      <c r="AJ120" t="s">
        <v>74</v>
      </c>
      <c r="AK120" t="s">
        <v>75</v>
      </c>
    </row>
    <row r="121" spans="1:37" x14ac:dyDescent="0.2">
      <c r="A121">
        <v>43</v>
      </c>
      <c r="B121" t="s">
        <v>43</v>
      </c>
      <c r="C121" t="s">
        <v>71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v>0</v>
      </c>
      <c r="AH121">
        <v>1</v>
      </c>
      <c r="AI121" t="s">
        <v>68</v>
      </c>
      <c r="AJ121" t="s">
        <v>81</v>
      </c>
      <c r="AK121" t="s">
        <v>73</v>
      </c>
    </row>
    <row r="122" spans="1:37" x14ac:dyDescent="0.2">
      <c r="A122">
        <v>30</v>
      </c>
      <c r="B122" t="s">
        <v>43</v>
      </c>
      <c r="C122" t="s">
        <v>71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v>0</v>
      </c>
      <c r="AH122">
        <v>0</v>
      </c>
      <c r="AI122" t="s">
        <v>76</v>
      </c>
      <c r="AJ122" t="s">
        <v>74</v>
      </c>
      <c r="AK122" t="s">
        <v>73</v>
      </c>
    </row>
    <row r="123" spans="1:37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v>0</v>
      </c>
      <c r="AH123">
        <v>0</v>
      </c>
      <c r="AI123" t="s">
        <v>76</v>
      </c>
      <c r="AJ123" t="s">
        <v>79</v>
      </c>
      <c r="AK123" t="s">
        <v>70</v>
      </c>
    </row>
    <row r="124" spans="1:37" x14ac:dyDescent="0.2">
      <c r="A124">
        <v>56</v>
      </c>
      <c r="B124" t="s">
        <v>35</v>
      </c>
      <c r="C124" t="s">
        <v>67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v>1</v>
      </c>
      <c r="AH124">
        <v>1</v>
      </c>
      <c r="AI124" t="s">
        <v>78</v>
      </c>
      <c r="AJ124" t="s">
        <v>69</v>
      </c>
      <c r="AK124" t="s">
        <v>70</v>
      </c>
    </row>
    <row r="125" spans="1:37" x14ac:dyDescent="0.2">
      <c r="A125">
        <v>51</v>
      </c>
      <c r="B125" t="s">
        <v>43</v>
      </c>
      <c r="C125" t="s">
        <v>67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v>0</v>
      </c>
      <c r="AH125">
        <v>0</v>
      </c>
      <c r="AI125" t="s">
        <v>72</v>
      </c>
      <c r="AJ125" t="s">
        <v>81</v>
      </c>
      <c r="AK125" t="s">
        <v>73</v>
      </c>
    </row>
    <row r="126" spans="1:37" x14ac:dyDescent="0.2">
      <c r="A126">
        <v>31</v>
      </c>
      <c r="B126" t="s">
        <v>35</v>
      </c>
      <c r="C126" t="s">
        <v>67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v>1</v>
      </c>
      <c r="AH126">
        <v>1</v>
      </c>
      <c r="AI126" t="s">
        <v>76</v>
      </c>
      <c r="AJ126" t="s">
        <v>79</v>
      </c>
      <c r="AK126" t="s">
        <v>70</v>
      </c>
    </row>
    <row r="127" spans="1:37" x14ac:dyDescent="0.2">
      <c r="A127">
        <v>26</v>
      </c>
      <c r="B127" t="s">
        <v>43</v>
      </c>
      <c r="C127" t="s">
        <v>67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v>0</v>
      </c>
      <c r="AH127">
        <v>0</v>
      </c>
      <c r="AI127" t="s">
        <v>76</v>
      </c>
      <c r="AJ127" t="s">
        <v>74</v>
      </c>
      <c r="AK127" t="s">
        <v>70</v>
      </c>
    </row>
    <row r="128" spans="1:37" x14ac:dyDescent="0.2">
      <c r="A128">
        <v>58</v>
      </c>
      <c r="B128" t="s">
        <v>35</v>
      </c>
      <c r="C128" t="s">
        <v>67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v>1</v>
      </c>
      <c r="AH128">
        <v>0</v>
      </c>
      <c r="AI128" t="s">
        <v>78</v>
      </c>
      <c r="AJ128" t="s">
        <v>81</v>
      </c>
      <c r="AK128" t="s">
        <v>73</v>
      </c>
    </row>
    <row r="129" spans="1:37" x14ac:dyDescent="0.2">
      <c r="A129">
        <v>19</v>
      </c>
      <c r="B129" t="s">
        <v>35</v>
      </c>
      <c r="C129" t="s">
        <v>67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 t="s">
        <v>80</v>
      </c>
      <c r="AJ129" t="s">
        <v>74</v>
      </c>
      <c r="AK129" t="s">
        <v>75</v>
      </c>
    </row>
    <row r="130" spans="1:37" x14ac:dyDescent="0.2">
      <c r="A130">
        <v>22</v>
      </c>
      <c r="B130" t="s">
        <v>43</v>
      </c>
      <c r="C130" t="s">
        <v>67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v>0</v>
      </c>
      <c r="AH130">
        <v>0</v>
      </c>
      <c r="AI130" t="s">
        <v>80</v>
      </c>
      <c r="AJ130" t="s">
        <v>74</v>
      </c>
      <c r="AK130" t="s">
        <v>77</v>
      </c>
    </row>
    <row r="131" spans="1:37" x14ac:dyDescent="0.2">
      <c r="A131">
        <v>49</v>
      </c>
      <c r="B131" t="s">
        <v>43</v>
      </c>
      <c r="C131" t="s">
        <v>67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v>0</v>
      </c>
      <c r="AH131">
        <v>0</v>
      </c>
      <c r="AI131" t="s">
        <v>72</v>
      </c>
      <c r="AJ131" t="s">
        <v>79</v>
      </c>
      <c r="AK131" t="s">
        <v>73</v>
      </c>
    </row>
    <row r="132" spans="1:37" x14ac:dyDescent="0.2">
      <c r="A132">
        <v>43</v>
      </c>
      <c r="B132" t="s">
        <v>43</v>
      </c>
      <c r="C132" t="s">
        <v>71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v>0</v>
      </c>
      <c r="AH132">
        <v>0</v>
      </c>
      <c r="AI132" t="s">
        <v>68</v>
      </c>
      <c r="AJ132" t="s">
        <v>69</v>
      </c>
      <c r="AK132" t="s">
        <v>77</v>
      </c>
    </row>
    <row r="133" spans="1:37" x14ac:dyDescent="0.2">
      <c r="A133">
        <v>50</v>
      </c>
      <c r="B133" t="s">
        <v>43</v>
      </c>
      <c r="C133" t="s">
        <v>71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v>0</v>
      </c>
      <c r="AH133">
        <v>0</v>
      </c>
      <c r="AI133" t="s">
        <v>72</v>
      </c>
      <c r="AJ133" t="s">
        <v>79</v>
      </c>
      <c r="AK133" t="s">
        <v>77</v>
      </c>
    </row>
    <row r="134" spans="1:37" x14ac:dyDescent="0.2">
      <c r="A134">
        <v>31</v>
      </c>
      <c r="B134" t="s">
        <v>35</v>
      </c>
      <c r="C134" t="s">
        <v>67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v>1</v>
      </c>
      <c r="AH134">
        <v>1</v>
      </c>
      <c r="AI134" t="s">
        <v>76</v>
      </c>
      <c r="AJ134" t="s">
        <v>69</v>
      </c>
      <c r="AK134" t="s">
        <v>77</v>
      </c>
    </row>
    <row r="135" spans="1:37" x14ac:dyDescent="0.2">
      <c r="A135">
        <v>41</v>
      </c>
      <c r="B135" t="s">
        <v>43</v>
      </c>
      <c r="C135" t="s">
        <v>67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v>0</v>
      </c>
      <c r="AH135">
        <v>1</v>
      </c>
      <c r="AI135" t="s">
        <v>68</v>
      </c>
      <c r="AJ135" t="s">
        <v>79</v>
      </c>
      <c r="AK135" t="s">
        <v>70</v>
      </c>
    </row>
    <row r="136" spans="1:37" x14ac:dyDescent="0.2">
      <c r="A136">
        <v>26</v>
      </c>
      <c r="B136" t="s">
        <v>43</v>
      </c>
      <c r="C136" t="s">
        <v>67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v>0</v>
      </c>
      <c r="AH136">
        <v>0</v>
      </c>
      <c r="AI136" t="s">
        <v>76</v>
      </c>
      <c r="AJ136" t="s">
        <v>74</v>
      </c>
      <c r="AK136" t="s">
        <v>70</v>
      </c>
    </row>
    <row r="137" spans="1:37" x14ac:dyDescent="0.2">
      <c r="A137">
        <v>36</v>
      </c>
      <c r="B137" t="s">
        <v>43</v>
      </c>
      <c r="C137" t="s">
        <v>67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v>0</v>
      </c>
      <c r="AH137">
        <v>0</v>
      </c>
      <c r="AI137" t="s">
        <v>68</v>
      </c>
      <c r="AJ137" t="s">
        <v>69</v>
      </c>
      <c r="AK137" t="s">
        <v>77</v>
      </c>
    </row>
    <row r="138" spans="1:37" x14ac:dyDescent="0.2">
      <c r="A138">
        <v>51</v>
      </c>
      <c r="B138" t="s">
        <v>35</v>
      </c>
      <c r="C138" t="s">
        <v>71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v>1</v>
      </c>
      <c r="AH138">
        <v>0</v>
      </c>
      <c r="AI138" t="s">
        <v>72</v>
      </c>
      <c r="AJ138" t="s">
        <v>81</v>
      </c>
      <c r="AK138" t="s">
        <v>77</v>
      </c>
    </row>
    <row r="139" spans="1:37" x14ac:dyDescent="0.2">
      <c r="A139">
        <v>39</v>
      </c>
      <c r="B139" t="s">
        <v>43</v>
      </c>
      <c r="C139" t="s">
        <v>67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v>0</v>
      </c>
      <c r="AH139">
        <v>0</v>
      </c>
      <c r="AI139" t="s">
        <v>68</v>
      </c>
      <c r="AJ139" t="s">
        <v>69</v>
      </c>
      <c r="AK139" t="s">
        <v>73</v>
      </c>
    </row>
    <row r="140" spans="1:37" x14ac:dyDescent="0.2">
      <c r="A140">
        <v>25</v>
      </c>
      <c r="B140" t="s">
        <v>43</v>
      </c>
      <c r="C140" t="s">
        <v>67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v>0</v>
      </c>
      <c r="AH140">
        <v>0</v>
      </c>
      <c r="AI140" t="s">
        <v>76</v>
      </c>
      <c r="AJ140" t="s">
        <v>79</v>
      </c>
      <c r="AK140" t="s">
        <v>77</v>
      </c>
    </row>
    <row r="141" spans="1:37" x14ac:dyDescent="0.2">
      <c r="A141">
        <v>30</v>
      </c>
      <c r="B141" t="s">
        <v>43</v>
      </c>
      <c r="C141" t="s">
        <v>67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v>0</v>
      </c>
      <c r="AH141">
        <v>1</v>
      </c>
      <c r="AI141" t="s">
        <v>76</v>
      </c>
      <c r="AJ141" t="s">
        <v>79</v>
      </c>
      <c r="AK141" t="s">
        <v>73</v>
      </c>
    </row>
    <row r="142" spans="1:37" x14ac:dyDescent="0.2">
      <c r="A142">
        <v>32</v>
      </c>
      <c r="B142" t="s">
        <v>35</v>
      </c>
      <c r="C142" t="s">
        <v>67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v>1</v>
      </c>
      <c r="AH142">
        <v>0</v>
      </c>
      <c r="AI142" t="s">
        <v>76</v>
      </c>
      <c r="AJ142" t="s">
        <v>69</v>
      </c>
      <c r="AK142" t="s">
        <v>70</v>
      </c>
    </row>
    <row r="143" spans="1:37" x14ac:dyDescent="0.2">
      <c r="A143">
        <v>45</v>
      </c>
      <c r="B143" t="s">
        <v>43</v>
      </c>
      <c r="C143" t="s">
        <v>67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v>0</v>
      </c>
      <c r="AH143">
        <v>0</v>
      </c>
      <c r="AI143" t="s">
        <v>72</v>
      </c>
      <c r="AJ143" t="s">
        <v>69</v>
      </c>
      <c r="AK143" t="s">
        <v>70</v>
      </c>
    </row>
    <row r="144" spans="1:37" x14ac:dyDescent="0.2">
      <c r="A144">
        <v>38</v>
      </c>
      <c r="B144" t="s">
        <v>43</v>
      </c>
      <c r="C144" t="s">
        <v>67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v>0</v>
      </c>
      <c r="AH144">
        <v>1</v>
      </c>
      <c r="AI144" t="s">
        <v>68</v>
      </c>
      <c r="AJ144" t="s">
        <v>69</v>
      </c>
      <c r="AK144" t="s">
        <v>77</v>
      </c>
    </row>
    <row r="145" spans="1:37" x14ac:dyDescent="0.2">
      <c r="A145">
        <v>30</v>
      </c>
      <c r="B145" t="s">
        <v>43</v>
      </c>
      <c r="C145" t="s">
        <v>67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v>0</v>
      </c>
      <c r="AH145">
        <v>0</v>
      </c>
      <c r="AI145" t="s">
        <v>76</v>
      </c>
      <c r="AJ145" t="s">
        <v>74</v>
      </c>
      <c r="AK145" t="s">
        <v>70</v>
      </c>
    </row>
    <row r="146" spans="1:37" x14ac:dyDescent="0.2">
      <c r="A146">
        <v>32</v>
      </c>
      <c r="B146" t="s">
        <v>43</v>
      </c>
      <c r="C146" t="s">
        <v>71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v>0</v>
      </c>
      <c r="AH146">
        <v>0</v>
      </c>
      <c r="AI146" t="s">
        <v>76</v>
      </c>
      <c r="AJ146" t="s">
        <v>69</v>
      </c>
      <c r="AK146" t="s">
        <v>70</v>
      </c>
    </row>
    <row r="147" spans="1:37" x14ac:dyDescent="0.2">
      <c r="A147">
        <v>30</v>
      </c>
      <c r="B147" t="s">
        <v>43</v>
      </c>
      <c r="C147" t="s">
        <v>67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v>0</v>
      </c>
      <c r="AH147">
        <v>0</v>
      </c>
      <c r="AI147" t="s">
        <v>76</v>
      </c>
      <c r="AJ147" t="s">
        <v>69</v>
      </c>
      <c r="AK147" t="s">
        <v>77</v>
      </c>
    </row>
    <row r="148" spans="1:37" x14ac:dyDescent="0.2">
      <c r="A148">
        <v>30</v>
      </c>
      <c r="B148" t="s">
        <v>43</v>
      </c>
      <c r="C148" t="s">
        <v>67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v>0</v>
      </c>
      <c r="AH148">
        <v>0</v>
      </c>
      <c r="AI148" t="s">
        <v>76</v>
      </c>
      <c r="AJ148" t="s">
        <v>74</v>
      </c>
      <c r="AK148" t="s">
        <v>70</v>
      </c>
    </row>
    <row r="149" spans="1:37" x14ac:dyDescent="0.2">
      <c r="A149">
        <v>41</v>
      </c>
      <c r="B149" t="s">
        <v>43</v>
      </c>
      <c r="C149" t="s">
        <v>71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v>0</v>
      </c>
      <c r="AH149">
        <v>0</v>
      </c>
      <c r="AI149" t="s">
        <v>68</v>
      </c>
      <c r="AJ149" t="s">
        <v>81</v>
      </c>
      <c r="AK149" t="s">
        <v>70</v>
      </c>
    </row>
    <row r="150" spans="1:37" x14ac:dyDescent="0.2">
      <c r="A150">
        <v>41</v>
      </c>
      <c r="B150" t="s">
        <v>43</v>
      </c>
      <c r="C150" t="s">
        <v>67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v>0</v>
      </c>
      <c r="AH150">
        <v>0</v>
      </c>
      <c r="AI150" t="s">
        <v>68</v>
      </c>
      <c r="AJ150" t="s">
        <v>74</v>
      </c>
      <c r="AK150" t="s">
        <v>70</v>
      </c>
    </row>
    <row r="151" spans="1:37" x14ac:dyDescent="0.2">
      <c r="A151">
        <v>19</v>
      </c>
      <c r="B151" t="s">
        <v>43</v>
      </c>
      <c r="C151" t="s">
        <v>67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80</v>
      </c>
      <c r="AJ151" t="s">
        <v>74</v>
      </c>
      <c r="AK151" t="s">
        <v>75</v>
      </c>
    </row>
    <row r="152" spans="1:37" x14ac:dyDescent="0.2">
      <c r="A152">
        <v>40</v>
      </c>
      <c r="B152" t="s">
        <v>43</v>
      </c>
      <c r="C152" t="s">
        <v>71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v>0</v>
      </c>
      <c r="AH152">
        <v>0</v>
      </c>
      <c r="AI152" t="s">
        <v>68</v>
      </c>
      <c r="AJ152" t="s">
        <v>69</v>
      </c>
      <c r="AK152" t="s">
        <v>73</v>
      </c>
    </row>
    <row r="153" spans="1:37" x14ac:dyDescent="0.2">
      <c r="A153">
        <v>35</v>
      </c>
      <c r="B153" t="s">
        <v>43</v>
      </c>
      <c r="C153" t="s">
        <v>67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v>0</v>
      </c>
      <c r="AH153">
        <v>0</v>
      </c>
      <c r="AI153" t="s">
        <v>68</v>
      </c>
      <c r="AJ153" t="s">
        <v>79</v>
      </c>
      <c r="AK153" t="s">
        <v>73</v>
      </c>
    </row>
    <row r="154" spans="1:37" x14ac:dyDescent="0.2">
      <c r="A154">
        <v>53</v>
      </c>
      <c r="B154" t="s">
        <v>43</v>
      </c>
      <c r="C154" t="s">
        <v>67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v>0</v>
      </c>
      <c r="AH154">
        <v>1</v>
      </c>
      <c r="AI154" t="s">
        <v>72</v>
      </c>
      <c r="AJ154" t="s">
        <v>74</v>
      </c>
      <c r="AK154" t="s">
        <v>70</v>
      </c>
    </row>
    <row r="155" spans="1:37" x14ac:dyDescent="0.2">
      <c r="A155">
        <v>45</v>
      </c>
      <c r="B155" t="s">
        <v>43</v>
      </c>
      <c r="C155" t="s">
        <v>67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v>0</v>
      </c>
      <c r="AH155">
        <v>0</v>
      </c>
      <c r="AI155" t="s">
        <v>72</v>
      </c>
      <c r="AJ155" t="s">
        <v>74</v>
      </c>
      <c r="AK155" t="s">
        <v>73</v>
      </c>
    </row>
    <row r="156" spans="1:37" x14ac:dyDescent="0.2">
      <c r="A156">
        <v>32</v>
      </c>
      <c r="B156" t="s">
        <v>43</v>
      </c>
      <c r="C156" t="s">
        <v>71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v>0</v>
      </c>
      <c r="AH156">
        <v>0</v>
      </c>
      <c r="AI156" t="s">
        <v>76</v>
      </c>
      <c r="AJ156" t="s">
        <v>79</v>
      </c>
      <c r="AK156" t="s">
        <v>70</v>
      </c>
    </row>
    <row r="157" spans="1:37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v>0</v>
      </c>
      <c r="AH157">
        <v>0</v>
      </c>
      <c r="AI157" t="s">
        <v>76</v>
      </c>
      <c r="AJ157" t="s">
        <v>69</v>
      </c>
      <c r="AK157" t="s">
        <v>73</v>
      </c>
    </row>
    <row r="158" spans="1:37" x14ac:dyDescent="0.2">
      <c r="A158">
        <v>51</v>
      </c>
      <c r="B158" t="s">
        <v>43</v>
      </c>
      <c r="C158" t="s">
        <v>67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72</v>
      </c>
      <c r="AJ158" t="s">
        <v>79</v>
      </c>
      <c r="AK158" t="s">
        <v>75</v>
      </c>
    </row>
    <row r="159" spans="1:37" x14ac:dyDescent="0.2">
      <c r="A159">
        <v>58</v>
      </c>
      <c r="B159" t="s">
        <v>43</v>
      </c>
      <c r="C159" t="s">
        <v>67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 t="s">
        <v>78</v>
      </c>
      <c r="AJ159" t="s">
        <v>69</v>
      </c>
      <c r="AK159" t="s">
        <v>75</v>
      </c>
    </row>
    <row r="160" spans="1:37" x14ac:dyDescent="0.2">
      <c r="A160">
        <v>40</v>
      </c>
      <c r="B160" t="s">
        <v>43</v>
      </c>
      <c r="C160" t="s">
        <v>67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v>0</v>
      </c>
      <c r="AH160">
        <v>0</v>
      </c>
      <c r="AI160" t="s">
        <v>68</v>
      </c>
      <c r="AJ160" t="s">
        <v>81</v>
      </c>
      <c r="AK160" t="s">
        <v>73</v>
      </c>
    </row>
    <row r="161" spans="1:37" x14ac:dyDescent="0.2">
      <c r="A161">
        <v>34</v>
      </c>
      <c r="B161" t="s">
        <v>43</v>
      </c>
      <c r="C161" t="s">
        <v>71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v>0</v>
      </c>
      <c r="AH161">
        <v>0</v>
      </c>
      <c r="AI161" t="s">
        <v>76</v>
      </c>
      <c r="AJ161" t="s">
        <v>74</v>
      </c>
      <c r="AK161" t="s">
        <v>77</v>
      </c>
    </row>
    <row r="162" spans="1:37" x14ac:dyDescent="0.2">
      <c r="A162">
        <v>22</v>
      </c>
      <c r="B162" t="s">
        <v>43</v>
      </c>
      <c r="C162" t="s">
        <v>67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v>0</v>
      </c>
      <c r="AH162">
        <v>0</v>
      </c>
      <c r="AI162" t="s">
        <v>80</v>
      </c>
      <c r="AJ162" t="s">
        <v>74</v>
      </c>
      <c r="AK162" t="s">
        <v>77</v>
      </c>
    </row>
    <row r="163" spans="1:37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v>0</v>
      </c>
      <c r="AH163">
        <v>0</v>
      </c>
      <c r="AI163" t="s">
        <v>76</v>
      </c>
      <c r="AJ163" t="s">
        <v>74</v>
      </c>
      <c r="AK163" t="s">
        <v>77</v>
      </c>
    </row>
    <row r="164" spans="1:37" x14ac:dyDescent="0.2">
      <c r="A164">
        <v>28</v>
      </c>
      <c r="B164" t="s">
        <v>43</v>
      </c>
      <c r="C164" t="s">
        <v>67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v>0</v>
      </c>
      <c r="AH164">
        <v>0</v>
      </c>
      <c r="AI164" t="s">
        <v>76</v>
      </c>
      <c r="AJ164" t="s">
        <v>74</v>
      </c>
      <c r="AK164" t="s">
        <v>70</v>
      </c>
    </row>
    <row r="165" spans="1:37" x14ac:dyDescent="0.2">
      <c r="A165">
        <v>57</v>
      </c>
      <c r="B165" t="s">
        <v>43</v>
      </c>
      <c r="C165" t="s">
        <v>67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v>0</v>
      </c>
      <c r="AH165">
        <v>1</v>
      </c>
      <c r="AI165" t="s">
        <v>78</v>
      </c>
      <c r="AJ165" t="s">
        <v>79</v>
      </c>
      <c r="AK165" t="s">
        <v>70</v>
      </c>
    </row>
    <row r="166" spans="1:37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1</v>
      </c>
      <c r="AI166" t="s">
        <v>76</v>
      </c>
      <c r="AJ166" t="s">
        <v>74</v>
      </c>
      <c r="AK166" t="s">
        <v>75</v>
      </c>
    </row>
    <row r="167" spans="1:37" x14ac:dyDescent="0.2">
      <c r="A167">
        <v>50</v>
      </c>
      <c r="B167" t="s">
        <v>43</v>
      </c>
      <c r="C167" t="s">
        <v>67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v>0</v>
      </c>
      <c r="AH167">
        <v>0</v>
      </c>
      <c r="AI167" t="s">
        <v>72</v>
      </c>
      <c r="AJ167" t="s">
        <v>81</v>
      </c>
      <c r="AK167" t="s">
        <v>70</v>
      </c>
    </row>
    <row r="168" spans="1:37" x14ac:dyDescent="0.2">
      <c r="A168">
        <v>41</v>
      </c>
      <c r="B168" t="s">
        <v>43</v>
      </c>
      <c r="C168" t="s">
        <v>67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v>0</v>
      </c>
      <c r="AH168">
        <v>0</v>
      </c>
      <c r="AI168" t="s">
        <v>68</v>
      </c>
      <c r="AJ168" t="s">
        <v>74</v>
      </c>
      <c r="AK168" t="s">
        <v>70</v>
      </c>
    </row>
    <row r="169" spans="1:37" x14ac:dyDescent="0.2">
      <c r="A169">
        <v>30</v>
      </c>
      <c r="B169" t="s">
        <v>43</v>
      </c>
      <c r="C169" t="s">
        <v>67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v>0</v>
      </c>
      <c r="AH169">
        <v>0</v>
      </c>
      <c r="AI169" t="s">
        <v>76</v>
      </c>
      <c r="AJ169" t="s">
        <v>79</v>
      </c>
      <c r="AK169" t="s">
        <v>73</v>
      </c>
    </row>
    <row r="170" spans="1:37" x14ac:dyDescent="0.2">
      <c r="A170">
        <v>38</v>
      </c>
      <c r="B170" t="s">
        <v>43</v>
      </c>
      <c r="C170" t="s">
        <v>67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v>0</v>
      </c>
      <c r="AH170">
        <v>0</v>
      </c>
      <c r="AI170" t="s">
        <v>68</v>
      </c>
      <c r="AJ170" t="s">
        <v>79</v>
      </c>
      <c r="AK170" t="s">
        <v>70</v>
      </c>
    </row>
    <row r="171" spans="1:37" x14ac:dyDescent="0.2">
      <c r="A171">
        <v>32</v>
      </c>
      <c r="B171" t="s">
        <v>43</v>
      </c>
      <c r="C171" t="s">
        <v>67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v>0</v>
      </c>
      <c r="AH171">
        <v>0</v>
      </c>
      <c r="AI171" t="s">
        <v>76</v>
      </c>
      <c r="AJ171" t="s">
        <v>69</v>
      </c>
      <c r="AK171" t="s">
        <v>70</v>
      </c>
    </row>
    <row r="172" spans="1:37" x14ac:dyDescent="0.2">
      <c r="A172">
        <v>27</v>
      </c>
      <c r="B172" t="s">
        <v>43</v>
      </c>
      <c r="C172" t="s">
        <v>67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v>0</v>
      </c>
      <c r="AH172">
        <v>1</v>
      </c>
      <c r="AI172" t="s">
        <v>76</v>
      </c>
      <c r="AJ172" t="s">
        <v>69</v>
      </c>
      <c r="AK172" t="s">
        <v>70</v>
      </c>
    </row>
    <row r="173" spans="1:37" x14ac:dyDescent="0.2">
      <c r="A173">
        <v>19</v>
      </c>
      <c r="B173" t="s">
        <v>35</v>
      </c>
      <c r="C173" t="s">
        <v>71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 t="s">
        <v>80</v>
      </c>
      <c r="AJ173" t="s">
        <v>74</v>
      </c>
      <c r="AK173" t="s">
        <v>75</v>
      </c>
    </row>
    <row r="174" spans="1:37" x14ac:dyDescent="0.2">
      <c r="A174">
        <v>36</v>
      </c>
      <c r="B174" t="s">
        <v>43</v>
      </c>
      <c r="C174" t="s">
        <v>71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v>0</v>
      </c>
      <c r="AH174">
        <v>0</v>
      </c>
      <c r="AI174" t="s">
        <v>68</v>
      </c>
      <c r="AJ174" t="s">
        <v>74</v>
      </c>
      <c r="AK174" t="s">
        <v>70</v>
      </c>
    </row>
    <row r="175" spans="1:37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v>0</v>
      </c>
      <c r="AH175">
        <v>0</v>
      </c>
      <c r="AI175" t="s">
        <v>76</v>
      </c>
      <c r="AJ175" t="s">
        <v>69</v>
      </c>
      <c r="AK175" t="s">
        <v>73</v>
      </c>
    </row>
    <row r="176" spans="1:37" x14ac:dyDescent="0.2">
      <c r="A176">
        <v>45</v>
      </c>
      <c r="B176" t="s">
        <v>43</v>
      </c>
      <c r="C176" t="s">
        <v>67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v>0</v>
      </c>
      <c r="AH176">
        <v>1</v>
      </c>
      <c r="AI176" t="s">
        <v>72</v>
      </c>
      <c r="AJ176" t="s">
        <v>69</v>
      </c>
      <c r="AK176" t="s">
        <v>70</v>
      </c>
    </row>
    <row r="177" spans="1:37" x14ac:dyDescent="0.2">
      <c r="A177">
        <v>56</v>
      </c>
      <c r="B177" t="s">
        <v>43</v>
      </c>
      <c r="C177" t="s">
        <v>67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v>0</v>
      </c>
      <c r="AH177">
        <v>1</v>
      </c>
      <c r="AI177" t="s">
        <v>78</v>
      </c>
      <c r="AJ177" t="s">
        <v>69</v>
      </c>
      <c r="AK177" t="s">
        <v>77</v>
      </c>
    </row>
    <row r="178" spans="1:37" x14ac:dyDescent="0.2">
      <c r="A178">
        <v>33</v>
      </c>
      <c r="B178" t="s">
        <v>43</v>
      </c>
      <c r="C178" t="s">
        <v>67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v>0</v>
      </c>
      <c r="AH178">
        <v>0</v>
      </c>
      <c r="AI178" t="s">
        <v>76</v>
      </c>
      <c r="AJ178" t="s">
        <v>74</v>
      </c>
      <c r="AK178" t="s">
        <v>77</v>
      </c>
    </row>
    <row r="179" spans="1:37" x14ac:dyDescent="0.2">
      <c r="A179">
        <v>19</v>
      </c>
      <c r="B179" t="s">
        <v>35</v>
      </c>
      <c r="C179" t="s">
        <v>67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v>1</v>
      </c>
      <c r="AH179">
        <v>0</v>
      </c>
      <c r="AI179" t="s">
        <v>80</v>
      </c>
      <c r="AJ179" t="s">
        <v>74</v>
      </c>
      <c r="AK179" t="s">
        <v>75</v>
      </c>
    </row>
    <row r="180" spans="1:37" x14ac:dyDescent="0.2">
      <c r="A180">
        <v>46</v>
      </c>
      <c r="B180" t="s">
        <v>43</v>
      </c>
      <c r="C180" t="s">
        <v>67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v>0</v>
      </c>
      <c r="AH180">
        <v>0</v>
      </c>
      <c r="AI180" t="s">
        <v>72</v>
      </c>
      <c r="AJ180" t="s">
        <v>81</v>
      </c>
      <c r="AK180" t="s">
        <v>73</v>
      </c>
    </row>
    <row r="181" spans="1:37" x14ac:dyDescent="0.2">
      <c r="A181">
        <v>38</v>
      </c>
      <c r="B181" t="s">
        <v>43</v>
      </c>
      <c r="C181" t="s">
        <v>67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v>0</v>
      </c>
      <c r="AH181">
        <v>0</v>
      </c>
      <c r="AI181" t="s">
        <v>68</v>
      </c>
      <c r="AJ181" t="s">
        <v>74</v>
      </c>
      <c r="AK181" t="s">
        <v>77</v>
      </c>
    </row>
    <row r="182" spans="1:37" x14ac:dyDescent="0.2">
      <c r="A182">
        <v>31</v>
      </c>
      <c r="B182" t="s">
        <v>43</v>
      </c>
      <c r="C182" t="s">
        <v>67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v>0</v>
      </c>
      <c r="AH182">
        <v>1</v>
      </c>
      <c r="AI182" t="s">
        <v>76</v>
      </c>
      <c r="AJ182" t="s">
        <v>69</v>
      </c>
      <c r="AK182" t="s">
        <v>77</v>
      </c>
    </row>
    <row r="183" spans="1:37" x14ac:dyDescent="0.2">
      <c r="A183">
        <v>34</v>
      </c>
      <c r="B183" t="s">
        <v>43</v>
      </c>
      <c r="C183" t="s">
        <v>67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v>0</v>
      </c>
      <c r="AH183">
        <v>0</v>
      </c>
      <c r="AI183" t="s">
        <v>76</v>
      </c>
      <c r="AJ183" t="s">
        <v>74</v>
      </c>
      <c r="AK183" t="s">
        <v>77</v>
      </c>
    </row>
    <row r="184" spans="1:37" x14ac:dyDescent="0.2">
      <c r="A184">
        <v>41</v>
      </c>
      <c r="B184" t="s">
        <v>35</v>
      </c>
      <c r="C184" t="s">
        <v>67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v>1</v>
      </c>
      <c r="AH184">
        <v>1</v>
      </c>
      <c r="AI184" t="s">
        <v>68</v>
      </c>
      <c r="AJ184" t="s">
        <v>69</v>
      </c>
      <c r="AK184" t="s">
        <v>77</v>
      </c>
    </row>
    <row r="185" spans="1:37" x14ac:dyDescent="0.2">
      <c r="A185">
        <v>50</v>
      </c>
      <c r="B185" t="s">
        <v>43</v>
      </c>
      <c r="C185" t="s">
        <v>67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v>0</v>
      </c>
      <c r="AH185">
        <v>0</v>
      </c>
      <c r="AI185" t="s">
        <v>72</v>
      </c>
      <c r="AJ185" t="s">
        <v>69</v>
      </c>
      <c r="AK185" t="s">
        <v>77</v>
      </c>
    </row>
    <row r="186" spans="1:37" x14ac:dyDescent="0.2">
      <c r="A186">
        <v>53</v>
      </c>
      <c r="B186" t="s">
        <v>43</v>
      </c>
      <c r="C186" t="s">
        <v>67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v>0</v>
      </c>
      <c r="AH186">
        <v>0</v>
      </c>
      <c r="AI186" t="s">
        <v>72</v>
      </c>
      <c r="AJ186" t="s">
        <v>69</v>
      </c>
      <c r="AK186" t="s">
        <v>77</v>
      </c>
    </row>
    <row r="187" spans="1:37" x14ac:dyDescent="0.2">
      <c r="A187">
        <v>33</v>
      </c>
      <c r="B187" t="s">
        <v>43</v>
      </c>
      <c r="C187" t="s">
        <v>67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v>0</v>
      </c>
      <c r="AH187">
        <v>0</v>
      </c>
      <c r="AI187" t="s">
        <v>76</v>
      </c>
      <c r="AJ187" t="s">
        <v>74</v>
      </c>
      <c r="AK187" t="s">
        <v>70</v>
      </c>
    </row>
    <row r="188" spans="1:37" x14ac:dyDescent="0.2">
      <c r="A188">
        <v>40</v>
      </c>
      <c r="B188" t="s">
        <v>43</v>
      </c>
      <c r="C188" t="s">
        <v>67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v>0</v>
      </c>
      <c r="AH188">
        <v>0</v>
      </c>
      <c r="AI188" t="s">
        <v>68</v>
      </c>
      <c r="AJ188" t="s">
        <v>81</v>
      </c>
      <c r="AK188" t="s">
        <v>73</v>
      </c>
    </row>
    <row r="189" spans="1:37" x14ac:dyDescent="0.2">
      <c r="A189">
        <v>55</v>
      </c>
      <c r="B189" t="s">
        <v>43</v>
      </c>
      <c r="C189" t="s">
        <v>67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v>0</v>
      </c>
      <c r="AH189">
        <v>0</v>
      </c>
      <c r="AI189" t="s">
        <v>78</v>
      </c>
      <c r="AJ189" t="s">
        <v>81</v>
      </c>
      <c r="AK189" t="s">
        <v>73</v>
      </c>
    </row>
    <row r="190" spans="1:37" x14ac:dyDescent="0.2">
      <c r="A190">
        <v>34</v>
      </c>
      <c r="B190" t="s">
        <v>43</v>
      </c>
      <c r="C190" t="s">
        <v>71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v>0</v>
      </c>
      <c r="AH190">
        <v>0</v>
      </c>
      <c r="AI190" t="s">
        <v>76</v>
      </c>
      <c r="AJ190" t="s">
        <v>79</v>
      </c>
      <c r="AK190" t="s">
        <v>73</v>
      </c>
    </row>
    <row r="191" spans="1:37" x14ac:dyDescent="0.2">
      <c r="A191">
        <v>51</v>
      </c>
      <c r="B191" t="s">
        <v>43</v>
      </c>
      <c r="C191" t="s">
        <v>67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v>0</v>
      </c>
      <c r="AH191">
        <v>0</v>
      </c>
      <c r="AI191" t="s">
        <v>72</v>
      </c>
      <c r="AJ191" t="s">
        <v>81</v>
      </c>
      <c r="AK191" t="s">
        <v>70</v>
      </c>
    </row>
    <row r="192" spans="1:37" x14ac:dyDescent="0.2">
      <c r="A192">
        <v>52</v>
      </c>
      <c r="B192" t="s">
        <v>43</v>
      </c>
      <c r="C192" t="s">
        <v>67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v>0</v>
      </c>
      <c r="AH192">
        <v>0</v>
      </c>
      <c r="AI192" t="s">
        <v>72</v>
      </c>
      <c r="AJ192" t="s">
        <v>81</v>
      </c>
      <c r="AK192" t="s">
        <v>73</v>
      </c>
    </row>
    <row r="193" spans="1:37" x14ac:dyDescent="0.2">
      <c r="A193">
        <v>27</v>
      </c>
      <c r="B193" t="s">
        <v>43</v>
      </c>
      <c r="C193" t="s">
        <v>67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v>0</v>
      </c>
      <c r="AH193">
        <v>0</v>
      </c>
      <c r="AI193" t="s">
        <v>76</v>
      </c>
      <c r="AJ193" t="s">
        <v>74</v>
      </c>
      <c r="AK193" t="s">
        <v>70</v>
      </c>
    </row>
    <row r="194" spans="1:37" x14ac:dyDescent="0.2">
      <c r="A194">
        <v>35</v>
      </c>
      <c r="B194" t="s">
        <v>35</v>
      </c>
      <c r="C194" t="s">
        <v>67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1</v>
      </c>
      <c r="AI194" t="s">
        <v>68</v>
      </c>
      <c r="AJ194" t="s">
        <v>69</v>
      </c>
      <c r="AK194" t="s">
        <v>75</v>
      </c>
    </row>
    <row r="195" spans="1:37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v>0</v>
      </c>
      <c r="AH195">
        <v>0</v>
      </c>
      <c r="AI195" t="s">
        <v>68</v>
      </c>
      <c r="AJ195" t="s">
        <v>74</v>
      </c>
      <c r="AK195" t="s">
        <v>70</v>
      </c>
    </row>
    <row r="196" spans="1:37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v>0</v>
      </c>
      <c r="AH196">
        <v>0</v>
      </c>
      <c r="AI196" t="s">
        <v>72</v>
      </c>
      <c r="AJ196" t="s">
        <v>81</v>
      </c>
      <c r="AK196" t="s">
        <v>73</v>
      </c>
    </row>
    <row r="197" spans="1:37" x14ac:dyDescent="0.2">
      <c r="A197">
        <v>37</v>
      </c>
      <c r="B197" t="s">
        <v>43</v>
      </c>
      <c r="C197" t="s">
        <v>67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v>0</v>
      </c>
      <c r="AH197">
        <v>1</v>
      </c>
      <c r="AI197" t="s">
        <v>68</v>
      </c>
      <c r="AJ197" t="s">
        <v>69</v>
      </c>
      <c r="AK197" t="s">
        <v>70</v>
      </c>
    </row>
    <row r="198" spans="1:37" x14ac:dyDescent="0.2">
      <c r="A198">
        <v>35</v>
      </c>
      <c r="B198" t="s">
        <v>43</v>
      </c>
      <c r="C198" t="s">
        <v>71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v>0</v>
      </c>
      <c r="AH198">
        <v>0</v>
      </c>
      <c r="AI198" t="s">
        <v>68</v>
      </c>
      <c r="AJ198" t="s">
        <v>69</v>
      </c>
      <c r="AK198" t="s">
        <v>70</v>
      </c>
    </row>
    <row r="199" spans="1:37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v>0</v>
      </c>
      <c r="AH199">
        <v>0</v>
      </c>
      <c r="AI199" t="s">
        <v>68</v>
      </c>
      <c r="AJ199" t="s">
        <v>69</v>
      </c>
      <c r="AK199" t="s">
        <v>70</v>
      </c>
    </row>
    <row r="200" spans="1:37" x14ac:dyDescent="0.2">
      <c r="A200">
        <v>38</v>
      </c>
      <c r="B200" t="s">
        <v>43</v>
      </c>
      <c r="C200" t="s">
        <v>67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68</v>
      </c>
      <c r="AJ200" t="s">
        <v>79</v>
      </c>
      <c r="AK200" t="s">
        <v>75</v>
      </c>
    </row>
    <row r="201" spans="1:37" x14ac:dyDescent="0.2">
      <c r="A201">
        <v>38</v>
      </c>
      <c r="B201" t="s">
        <v>43</v>
      </c>
      <c r="C201" t="s">
        <v>67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v>0</v>
      </c>
      <c r="AH201">
        <v>0</v>
      </c>
      <c r="AI201" t="s">
        <v>68</v>
      </c>
      <c r="AJ201" t="s">
        <v>79</v>
      </c>
      <c r="AK201" t="s">
        <v>70</v>
      </c>
    </row>
    <row r="202" spans="1:37" x14ac:dyDescent="0.2">
      <c r="A202">
        <v>27</v>
      </c>
      <c r="B202" t="s">
        <v>43</v>
      </c>
      <c r="C202" t="s">
        <v>71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v>0</v>
      </c>
      <c r="AH202">
        <v>0</v>
      </c>
      <c r="AI202" t="s">
        <v>76</v>
      </c>
      <c r="AJ202" t="s">
        <v>69</v>
      </c>
      <c r="AK202" t="s">
        <v>77</v>
      </c>
    </row>
    <row r="203" spans="1:37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v>0</v>
      </c>
      <c r="AH203">
        <v>1</v>
      </c>
      <c r="AI203" t="s">
        <v>72</v>
      </c>
      <c r="AJ203" t="s">
        <v>79</v>
      </c>
      <c r="AK203" t="s">
        <v>70</v>
      </c>
    </row>
    <row r="204" spans="1:37" x14ac:dyDescent="0.2">
      <c r="A204">
        <v>34</v>
      </c>
      <c r="B204" t="s">
        <v>43</v>
      </c>
      <c r="C204" t="s">
        <v>71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v>0</v>
      </c>
      <c r="AH204">
        <v>1</v>
      </c>
      <c r="AI204" t="s">
        <v>76</v>
      </c>
      <c r="AJ204" t="s">
        <v>69</v>
      </c>
      <c r="AK204" t="s">
        <v>70</v>
      </c>
    </row>
    <row r="205" spans="1:37" x14ac:dyDescent="0.2">
      <c r="A205">
        <v>40</v>
      </c>
      <c r="B205" t="s">
        <v>43</v>
      </c>
      <c r="C205" t="s">
        <v>67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v>0</v>
      </c>
      <c r="AH205">
        <v>1</v>
      </c>
      <c r="AI205" t="s">
        <v>68</v>
      </c>
      <c r="AJ205" t="s">
        <v>74</v>
      </c>
      <c r="AK205" t="s">
        <v>70</v>
      </c>
    </row>
    <row r="206" spans="1:37" x14ac:dyDescent="0.2">
      <c r="A206">
        <v>38</v>
      </c>
      <c r="B206" t="s">
        <v>35</v>
      </c>
      <c r="C206" t="s">
        <v>67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1</v>
      </c>
      <c r="AI206" t="s">
        <v>68</v>
      </c>
      <c r="AJ206" t="s">
        <v>79</v>
      </c>
      <c r="AK206" t="s">
        <v>75</v>
      </c>
    </row>
    <row r="207" spans="1:37" x14ac:dyDescent="0.2">
      <c r="A207">
        <v>29</v>
      </c>
      <c r="B207" t="s">
        <v>35</v>
      </c>
      <c r="C207" t="s">
        <v>67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v>1</v>
      </c>
      <c r="AH207">
        <v>0</v>
      </c>
      <c r="AI207" t="s">
        <v>76</v>
      </c>
      <c r="AJ207" t="s">
        <v>79</v>
      </c>
      <c r="AK207" t="s">
        <v>73</v>
      </c>
    </row>
    <row r="208" spans="1:37" x14ac:dyDescent="0.2">
      <c r="A208">
        <v>22</v>
      </c>
      <c r="B208" t="s">
        <v>43</v>
      </c>
      <c r="C208" t="s">
        <v>67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v>0</v>
      </c>
      <c r="AH208">
        <v>1</v>
      </c>
      <c r="AI208" t="s">
        <v>80</v>
      </c>
      <c r="AJ208" t="s">
        <v>74</v>
      </c>
      <c r="AK208" t="s">
        <v>77</v>
      </c>
    </row>
    <row r="209" spans="1:37" x14ac:dyDescent="0.2">
      <c r="A209">
        <v>36</v>
      </c>
      <c r="B209" t="s">
        <v>43</v>
      </c>
      <c r="C209" t="s">
        <v>71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v>0</v>
      </c>
      <c r="AH209">
        <v>0</v>
      </c>
      <c r="AI209" t="s">
        <v>68</v>
      </c>
      <c r="AJ209" t="s">
        <v>74</v>
      </c>
      <c r="AK209" t="s">
        <v>70</v>
      </c>
    </row>
    <row r="210" spans="1:37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v>0</v>
      </c>
      <c r="AH210">
        <v>0</v>
      </c>
      <c r="AI210" t="s">
        <v>68</v>
      </c>
      <c r="AJ210" t="s">
        <v>69</v>
      </c>
      <c r="AK210" t="s">
        <v>77</v>
      </c>
    </row>
    <row r="211" spans="1:37" x14ac:dyDescent="0.2">
      <c r="A211">
        <v>46</v>
      </c>
      <c r="B211" t="s">
        <v>43</v>
      </c>
      <c r="C211" t="s">
        <v>67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v>0</v>
      </c>
      <c r="AH211">
        <v>0</v>
      </c>
      <c r="AI211" t="s">
        <v>72</v>
      </c>
      <c r="AJ211" t="s">
        <v>79</v>
      </c>
      <c r="AK211" t="s">
        <v>77</v>
      </c>
    </row>
    <row r="212" spans="1:37" x14ac:dyDescent="0.2">
      <c r="A212">
        <v>32</v>
      </c>
      <c r="B212" t="s">
        <v>35</v>
      </c>
      <c r="C212" t="s">
        <v>67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v>1</v>
      </c>
      <c r="AH212">
        <v>0</v>
      </c>
      <c r="AI212" t="s">
        <v>76</v>
      </c>
      <c r="AJ212" t="s">
        <v>81</v>
      </c>
      <c r="AK212" t="s">
        <v>73</v>
      </c>
    </row>
    <row r="213" spans="1:37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v>0</v>
      </c>
      <c r="AH213">
        <v>0</v>
      </c>
      <c r="AI213" t="s">
        <v>76</v>
      </c>
      <c r="AJ213" t="s">
        <v>79</v>
      </c>
      <c r="AK213" t="s">
        <v>73</v>
      </c>
    </row>
    <row r="214" spans="1:37" x14ac:dyDescent="0.2">
      <c r="A214">
        <v>27</v>
      </c>
      <c r="B214" t="s">
        <v>43</v>
      </c>
      <c r="C214" t="s">
        <v>71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v>0</v>
      </c>
      <c r="AH214">
        <v>0</v>
      </c>
      <c r="AI214" t="s">
        <v>76</v>
      </c>
      <c r="AJ214" t="s">
        <v>79</v>
      </c>
      <c r="AK214" t="s">
        <v>70</v>
      </c>
    </row>
    <row r="215" spans="1:37" x14ac:dyDescent="0.2">
      <c r="A215">
        <v>51</v>
      </c>
      <c r="B215" t="s">
        <v>43</v>
      </c>
      <c r="C215" t="s">
        <v>67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v>0</v>
      </c>
      <c r="AH215">
        <v>0</v>
      </c>
      <c r="AI215" t="s">
        <v>72</v>
      </c>
      <c r="AJ215" t="s">
        <v>81</v>
      </c>
      <c r="AK215" t="s">
        <v>73</v>
      </c>
    </row>
    <row r="216" spans="1:37" x14ac:dyDescent="0.2">
      <c r="A216">
        <v>30</v>
      </c>
      <c r="B216" t="s">
        <v>35</v>
      </c>
      <c r="C216" t="s">
        <v>67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v>1</v>
      </c>
      <c r="AH216">
        <v>1</v>
      </c>
      <c r="AI216" t="s">
        <v>76</v>
      </c>
      <c r="AJ216" t="s">
        <v>74</v>
      </c>
      <c r="AK216" t="s">
        <v>70</v>
      </c>
    </row>
    <row r="217" spans="1:37" x14ac:dyDescent="0.2">
      <c r="A217">
        <v>41</v>
      </c>
      <c r="B217" t="s">
        <v>43</v>
      </c>
      <c r="C217" t="s">
        <v>67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 t="s">
        <v>68</v>
      </c>
      <c r="AJ217" t="s">
        <v>81</v>
      </c>
      <c r="AK217" t="s">
        <v>75</v>
      </c>
    </row>
    <row r="218" spans="1:37" x14ac:dyDescent="0.2">
      <c r="A218">
        <v>30</v>
      </c>
      <c r="B218" t="s">
        <v>35</v>
      </c>
      <c r="C218" t="s">
        <v>71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v>1</v>
      </c>
      <c r="AH218">
        <v>0</v>
      </c>
      <c r="AI218" t="s">
        <v>76</v>
      </c>
      <c r="AJ218" t="s">
        <v>79</v>
      </c>
      <c r="AK218" t="s">
        <v>70</v>
      </c>
    </row>
    <row r="219" spans="1:37" x14ac:dyDescent="0.2">
      <c r="A219">
        <v>29</v>
      </c>
      <c r="B219" t="s">
        <v>35</v>
      </c>
      <c r="C219" t="s">
        <v>67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v>1</v>
      </c>
      <c r="AH219">
        <v>0</v>
      </c>
      <c r="AI219" t="s">
        <v>76</v>
      </c>
      <c r="AJ219" t="s">
        <v>74</v>
      </c>
      <c r="AK219" t="s">
        <v>70</v>
      </c>
    </row>
    <row r="220" spans="1:37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v>0</v>
      </c>
      <c r="AH220">
        <v>0</v>
      </c>
      <c r="AI220" t="s">
        <v>72</v>
      </c>
      <c r="AJ220" t="s">
        <v>79</v>
      </c>
      <c r="AK220" t="s">
        <v>73</v>
      </c>
    </row>
    <row r="221" spans="1:37" x14ac:dyDescent="0.2">
      <c r="A221">
        <v>54</v>
      </c>
      <c r="B221" t="s">
        <v>43</v>
      </c>
      <c r="C221" t="s">
        <v>67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v>0</v>
      </c>
      <c r="AH221">
        <v>0</v>
      </c>
      <c r="AI221" t="s">
        <v>72</v>
      </c>
      <c r="AJ221" t="s">
        <v>69</v>
      </c>
      <c r="AK221" t="s">
        <v>70</v>
      </c>
    </row>
    <row r="222" spans="1:37" x14ac:dyDescent="0.2">
      <c r="A222">
        <v>36</v>
      </c>
      <c r="B222" t="s">
        <v>43</v>
      </c>
      <c r="C222" t="s">
        <v>67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v>0</v>
      </c>
      <c r="AH222">
        <v>0</v>
      </c>
      <c r="AI222" t="s">
        <v>68</v>
      </c>
      <c r="AJ222" t="s">
        <v>69</v>
      </c>
      <c r="AK222" t="s">
        <v>73</v>
      </c>
    </row>
    <row r="223" spans="1:37" x14ac:dyDescent="0.2">
      <c r="A223">
        <v>33</v>
      </c>
      <c r="B223" t="s">
        <v>43</v>
      </c>
      <c r="C223" t="s">
        <v>67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v>0</v>
      </c>
      <c r="AH223">
        <v>0</v>
      </c>
      <c r="AI223" t="s">
        <v>76</v>
      </c>
      <c r="AJ223" t="s">
        <v>74</v>
      </c>
      <c r="AK223" t="s">
        <v>77</v>
      </c>
    </row>
    <row r="224" spans="1:37" x14ac:dyDescent="0.2">
      <c r="A224">
        <v>37</v>
      </c>
      <c r="B224" t="s">
        <v>43</v>
      </c>
      <c r="C224" t="s">
        <v>71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v>0</v>
      </c>
      <c r="AH224">
        <v>1</v>
      </c>
      <c r="AI224" t="s">
        <v>68</v>
      </c>
      <c r="AJ224" t="s">
        <v>81</v>
      </c>
      <c r="AK224" t="s">
        <v>73</v>
      </c>
    </row>
    <row r="225" spans="1:37" x14ac:dyDescent="0.2">
      <c r="A225">
        <v>38</v>
      </c>
      <c r="B225" t="s">
        <v>43</v>
      </c>
      <c r="C225" t="s">
        <v>67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v>0</v>
      </c>
      <c r="AH225">
        <v>0</v>
      </c>
      <c r="AI225" t="s">
        <v>68</v>
      </c>
      <c r="AJ225" t="s">
        <v>81</v>
      </c>
      <c r="AK225" t="s">
        <v>73</v>
      </c>
    </row>
    <row r="226" spans="1:37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v>0</v>
      </c>
      <c r="AH226">
        <v>0</v>
      </c>
      <c r="AI226" t="s">
        <v>76</v>
      </c>
      <c r="AJ226" t="s">
        <v>69</v>
      </c>
      <c r="AK226" t="s">
        <v>70</v>
      </c>
    </row>
    <row r="227" spans="1:37" x14ac:dyDescent="0.2">
      <c r="A227">
        <v>59</v>
      </c>
      <c r="B227" t="s">
        <v>43</v>
      </c>
      <c r="C227" t="s">
        <v>67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78</v>
      </c>
      <c r="AJ227" t="s">
        <v>74</v>
      </c>
      <c r="AK227" t="s">
        <v>75</v>
      </c>
    </row>
    <row r="228" spans="1:37" x14ac:dyDescent="0.2">
      <c r="A228">
        <v>37</v>
      </c>
      <c r="B228" t="s">
        <v>43</v>
      </c>
      <c r="C228" t="s">
        <v>71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v>0</v>
      </c>
      <c r="AH228">
        <v>0</v>
      </c>
      <c r="AI228" t="s">
        <v>68</v>
      </c>
      <c r="AJ228" t="s">
        <v>74</v>
      </c>
      <c r="AK228" t="s">
        <v>70</v>
      </c>
    </row>
    <row r="229" spans="1:37" x14ac:dyDescent="0.2">
      <c r="A229">
        <v>29</v>
      </c>
      <c r="B229" t="s">
        <v>43</v>
      </c>
      <c r="C229" t="s">
        <v>71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v>0</v>
      </c>
      <c r="AH229">
        <v>0</v>
      </c>
      <c r="AI229" t="s">
        <v>76</v>
      </c>
      <c r="AJ229" t="s">
        <v>79</v>
      </c>
      <c r="AK229" t="s">
        <v>73</v>
      </c>
    </row>
    <row r="230" spans="1:37" x14ac:dyDescent="0.2">
      <c r="A230">
        <v>35</v>
      </c>
      <c r="B230" t="s">
        <v>43</v>
      </c>
      <c r="C230" t="s">
        <v>71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v>0</v>
      </c>
      <c r="AH230">
        <v>0</v>
      </c>
      <c r="AI230" t="s">
        <v>68</v>
      </c>
      <c r="AJ230" t="s">
        <v>79</v>
      </c>
      <c r="AK230" t="s">
        <v>73</v>
      </c>
    </row>
    <row r="231" spans="1:37" x14ac:dyDescent="0.2">
      <c r="A231">
        <v>29</v>
      </c>
      <c r="B231" t="s">
        <v>35</v>
      </c>
      <c r="C231" t="s">
        <v>67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v>1</v>
      </c>
      <c r="AH231">
        <v>1</v>
      </c>
      <c r="AI231" t="s">
        <v>76</v>
      </c>
      <c r="AJ231" t="s">
        <v>74</v>
      </c>
      <c r="AK231" t="s">
        <v>77</v>
      </c>
    </row>
    <row r="232" spans="1:37" x14ac:dyDescent="0.2">
      <c r="A232">
        <v>52</v>
      </c>
      <c r="B232" t="s">
        <v>43</v>
      </c>
      <c r="C232" t="s">
        <v>67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0</v>
      </c>
      <c r="AH232">
        <v>0</v>
      </c>
      <c r="AI232" t="s">
        <v>72</v>
      </c>
      <c r="AJ232" t="s">
        <v>69</v>
      </c>
      <c r="AK232" t="s">
        <v>77</v>
      </c>
    </row>
    <row r="233" spans="1:37" x14ac:dyDescent="0.2">
      <c r="A233">
        <v>42</v>
      </c>
      <c r="B233" t="s">
        <v>43</v>
      </c>
      <c r="C233" t="s">
        <v>67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v>0</v>
      </c>
      <c r="AH233">
        <v>0</v>
      </c>
      <c r="AI233" t="s">
        <v>68</v>
      </c>
      <c r="AJ233" t="s">
        <v>81</v>
      </c>
      <c r="AK233" t="s">
        <v>73</v>
      </c>
    </row>
    <row r="234" spans="1:37" x14ac:dyDescent="0.2">
      <c r="A234">
        <v>59</v>
      </c>
      <c r="B234" t="s">
        <v>43</v>
      </c>
      <c r="C234" t="s">
        <v>67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0</v>
      </c>
      <c r="AH234">
        <v>0</v>
      </c>
      <c r="AI234" t="s">
        <v>78</v>
      </c>
      <c r="AJ234" t="s">
        <v>74</v>
      </c>
      <c r="AK234" t="s">
        <v>77</v>
      </c>
    </row>
    <row r="235" spans="1:37" x14ac:dyDescent="0.2">
      <c r="A235">
        <v>50</v>
      </c>
      <c r="B235" t="s">
        <v>43</v>
      </c>
      <c r="C235" t="s">
        <v>67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v>0</v>
      </c>
      <c r="AH235">
        <v>0</v>
      </c>
      <c r="AI235" t="s">
        <v>72</v>
      </c>
      <c r="AJ235" t="s">
        <v>81</v>
      </c>
      <c r="AK235" t="s">
        <v>70</v>
      </c>
    </row>
    <row r="236" spans="1:37" x14ac:dyDescent="0.2">
      <c r="A236">
        <v>33</v>
      </c>
      <c r="B236" t="s">
        <v>35</v>
      </c>
      <c r="C236" t="s">
        <v>67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v>1</v>
      </c>
      <c r="AH236">
        <v>1</v>
      </c>
      <c r="AI236" t="s">
        <v>76</v>
      </c>
      <c r="AJ236" t="s">
        <v>74</v>
      </c>
      <c r="AK236" t="s">
        <v>70</v>
      </c>
    </row>
    <row r="237" spans="1:37" x14ac:dyDescent="0.2">
      <c r="A237">
        <v>43</v>
      </c>
      <c r="B237" t="s">
        <v>43</v>
      </c>
      <c r="C237" t="s">
        <v>67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v>0</v>
      </c>
      <c r="AH237">
        <v>1</v>
      </c>
      <c r="AI237" t="s">
        <v>68</v>
      </c>
      <c r="AJ237" t="s">
        <v>81</v>
      </c>
      <c r="AK237" t="s">
        <v>73</v>
      </c>
    </row>
    <row r="238" spans="1:37" x14ac:dyDescent="0.2">
      <c r="A238">
        <v>33</v>
      </c>
      <c r="B238" t="s">
        <v>35</v>
      </c>
      <c r="C238" t="s">
        <v>67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v>1</v>
      </c>
      <c r="AH238">
        <v>0</v>
      </c>
      <c r="AI238" t="s">
        <v>76</v>
      </c>
      <c r="AJ238" t="s">
        <v>74</v>
      </c>
      <c r="AK238" t="s">
        <v>70</v>
      </c>
    </row>
    <row r="239" spans="1:37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v>0</v>
      </c>
      <c r="AH239">
        <v>1</v>
      </c>
      <c r="AI239" t="s">
        <v>72</v>
      </c>
      <c r="AJ239" t="s">
        <v>81</v>
      </c>
      <c r="AK239" t="s">
        <v>73</v>
      </c>
    </row>
    <row r="240" spans="1:37" x14ac:dyDescent="0.2">
      <c r="A240">
        <v>32</v>
      </c>
      <c r="B240" t="s">
        <v>43</v>
      </c>
      <c r="C240" t="s">
        <v>67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v>0</v>
      </c>
      <c r="AH240">
        <v>0</v>
      </c>
      <c r="AI240" t="s">
        <v>76</v>
      </c>
      <c r="AJ240" t="s">
        <v>69</v>
      </c>
      <c r="AK240" t="s">
        <v>77</v>
      </c>
    </row>
    <row r="241" spans="1:37" x14ac:dyDescent="0.2">
      <c r="A241">
        <v>32</v>
      </c>
      <c r="B241" t="s">
        <v>35</v>
      </c>
      <c r="C241" t="s">
        <v>67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v>1</v>
      </c>
      <c r="AH241">
        <v>1</v>
      </c>
      <c r="AI241" t="s">
        <v>76</v>
      </c>
      <c r="AJ241" t="s">
        <v>69</v>
      </c>
      <c r="AK241" t="s">
        <v>77</v>
      </c>
    </row>
    <row r="242" spans="1:37" x14ac:dyDescent="0.2">
      <c r="A242">
        <v>39</v>
      </c>
      <c r="B242" t="s">
        <v>43</v>
      </c>
      <c r="C242" t="s">
        <v>67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v>0</v>
      </c>
      <c r="AH242">
        <v>0</v>
      </c>
      <c r="AI242" t="s">
        <v>68</v>
      </c>
      <c r="AJ242" t="s">
        <v>74</v>
      </c>
      <c r="AK242" t="s">
        <v>77</v>
      </c>
    </row>
    <row r="243" spans="1:37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v>0</v>
      </c>
      <c r="AH243">
        <v>0</v>
      </c>
      <c r="AI243" t="s">
        <v>76</v>
      </c>
      <c r="AJ243" t="s">
        <v>69</v>
      </c>
      <c r="AK243" t="s">
        <v>77</v>
      </c>
    </row>
    <row r="244" spans="1:37" x14ac:dyDescent="0.2">
      <c r="A244">
        <v>41</v>
      </c>
      <c r="B244" t="s">
        <v>43</v>
      </c>
      <c r="C244" t="s">
        <v>67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68</v>
      </c>
      <c r="AJ244" t="s">
        <v>69</v>
      </c>
      <c r="AK244" t="s">
        <v>75</v>
      </c>
    </row>
    <row r="245" spans="1:37" x14ac:dyDescent="0.2">
      <c r="A245">
        <v>40</v>
      </c>
      <c r="B245" t="s">
        <v>43</v>
      </c>
      <c r="C245" t="s">
        <v>67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v>0</v>
      </c>
      <c r="AH245">
        <v>0</v>
      </c>
      <c r="AI245" t="s">
        <v>68</v>
      </c>
      <c r="AJ245" t="s">
        <v>69</v>
      </c>
      <c r="AK245" t="s">
        <v>70</v>
      </c>
    </row>
    <row r="246" spans="1:37" x14ac:dyDescent="0.2">
      <c r="A246">
        <v>45</v>
      </c>
      <c r="B246" t="s">
        <v>43</v>
      </c>
      <c r="C246" t="s">
        <v>67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v>0</v>
      </c>
      <c r="AH246">
        <v>0</v>
      </c>
      <c r="AI246" t="s">
        <v>72</v>
      </c>
      <c r="AJ246" t="s">
        <v>81</v>
      </c>
      <c r="AK246" t="s">
        <v>73</v>
      </c>
    </row>
    <row r="247" spans="1:37" x14ac:dyDescent="0.2">
      <c r="A247">
        <v>31</v>
      </c>
      <c r="B247" t="s">
        <v>43</v>
      </c>
      <c r="C247" t="s">
        <v>71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v>0</v>
      </c>
      <c r="AH247">
        <v>0</v>
      </c>
      <c r="AI247" t="s">
        <v>76</v>
      </c>
      <c r="AJ247" t="s">
        <v>81</v>
      </c>
      <c r="AK247" t="s">
        <v>77</v>
      </c>
    </row>
    <row r="248" spans="1:37" x14ac:dyDescent="0.2">
      <c r="A248">
        <v>33</v>
      </c>
      <c r="B248" t="s">
        <v>43</v>
      </c>
      <c r="C248" t="s">
        <v>67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v>0</v>
      </c>
      <c r="AH248">
        <v>0</v>
      </c>
      <c r="AI248" t="s">
        <v>76</v>
      </c>
      <c r="AJ248" t="s">
        <v>74</v>
      </c>
      <c r="AK248" t="s">
        <v>77</v>
      </c>
    </row>
    <row r="249" spans="1:37" x14ac:dyDescent="0.2">
      <c r="A249">
        <v>34</v>
      </c>
      <c r="B249" t="s">
        <v>43</v>
      </c>
      <c r="C249" t="s">
        <v>67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v>0</v>
      </c>
      <c r="AH249">
        <v>0</v>
      </c>
      <c r="AI249" t="s">
        <v>76</v>
      </c>
      <c r="AJ249" t="s">
        <v>69</v>
      </c>
      <c r="AK249" t="s">
        <v>73</v>
      </c>
    </row>
    <row r="250" spans="1:37" x14ac:dyDescent="0.2">
      <c r="A250">
        <v>37</v>
      </c>
      <c r="B250" t="s">
        <v>43</v>
      </c>
      <c r="C250" t="s">
        <v>67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v>0</v>
      </c>
      <c r="AH250">
        <v>0</v>
      </c>
      <c r="AI250" t="s">
        <v>68</v>
      </c>
      <c r="AJ250" t="s">
        <v>69</v>
      </c>
      <c r="AK250" t="s">
        <v>77</v>
      </c>
    </row>
    <row r="251" spans="1:37" x14ac:dyDescent="0.2">
      <c r="A251">
        <v>45</v>
      </c>
      <c r="B251" t="s">
        <v>43</v>
      </c>
      <c r="C251" t="s">
        <v>71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v>0</v>
      </c>
      <c r="AH251">
        <v>0</v>
      </c>
      <c r="AI251" t="s">
        <v>72</v>
      </c>
      <c r="AJ251" t="s">
        <v>79</v>
      </c>
      <c r="AK251" t="s">
        <v>77</v>
      </c>
    </row>
    <row r="252" spans="1:37" x14ac:dyDescent="0.2">
      <c r="A252">
        <v>37</v>
      </c>
      <c r="B252" t="s">
        <v>35</v>
      </c>
      <c r="C252" t="s">
        <v>71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v>1</v>
      </c>
      <c r="AH252">
        <v>0</v>
      </c>
      <c r="AI252" t="s">
        <v>68</v>
      </c>
      <c r="AJ252" t="s">
        <v>81</v>
      </c>
      <c r="AK252" t="s">
        <v>75</v>
      </c>
    </row>
    <row r="253" spans="1:37" x14ac:dyDescent="0.2">
      <c r="A253">
        <v>39</v>
      </c>
      <c r="B253" t="s">
        <v>43</v>
      </c>
      <c r="C253" t="s">
        <v>71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v>0</v>
      </c>
      <c r="AH253">
        <v>0</v>
      </c>
      <c r="AI253" t="s">
        <v>68</v>
      </c>
      <c r="AJ253" t="s">
        <v>81</v>
      </c>
      <c r="AK253" t="s">
        <v>73</v>
      </c>
    </row>
    <row r="254" spans="1:37" x14ac:dyDescent="0.2">
      <c r="A254">
        <v>29</v>
      </c>
      <c r="B254" t="s">
        <v>43</v>
      </c>
      <c r="C254" t="s">
        <v>67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v>0</v>
      </c>
      <c r="AH254">
        <v>0</v>
      </c>
      <c r="AI254" t="s">
        <v>76</v>
      </c>
      <c r="AJ254" t="s">
        <v>74</v>
      </c>
      <c r="AK254" t="s">
        <v>70</v>
      </c>
    </row>
    <row r="255" spans="1:37" x14ac:dyDescent="0.2">
      <c r="A255">
        <v>42</v>
      </c>
      <c r="B255" t="s">
        <v>43</v>
      </c>
      <c r="C255" t="s">
        <v>67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v>0</v>
      </c>
      <c r="AH255">
        <v>1</v>
      </c>
      <c r="AI255" t="s">
        <v>68</v>
      </c>
      <c r="AJ255" t="s">
        <v>79</v>
      </c>
      <c r="AK255" t="s">
        <v>77</v>
      </c>
    </row>
    <row r="256" spans="1:37" x14ac:dyDescent="0.2">
      <c r="A256">
        <v>29</v>
      </c>
      <c r="B256" t="s">
        <v>43</v>
      </c>
      <c r="C256" t="s">
        <v>67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v>0</v>
      </c>
      <c r="AH256">
        <v>0</v>
      </c>
      <c r="AI256" t="s">
        <v>76</v>
      </c>
      <c r="AJ256" t="s">
        <v>79</v>
      </c>
      <c r="AK256" t="s">
        <v>77</v>
      </c>
    </row>
    <row r="257" spans="1:37" x14ac:dyDescent="0.2">
      <c r="A257">
        <v>25</v>
      </c>
      <c r="B257" t="s">
        <v>43</v>
      </c>
      <c r="C257" t="s">
        <v>67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v>0</v>
      </c>
      <c r="AH257">
        <v>0</v>
      </c>
      <c r="AI257" t="s">
        <v>76</v>
      </c>
      <c r="AJ257" t="s">
        <v>69</v>
      </c>
      <c r="AK257" t="s">
        <v>77</v>
      </c>
    </row>
    <row r="258" spans="1:37" x14ac:dyDescent="0.2">
      <c r="A258">
        <v>42</v>
      </c>
      <c r="B258" t="s">
        <v>43</v>
      </c>
      <c r="C258" t="s">
        <v>67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v>0</v>
      </c>
      <c r="AH258">
        <v>1</v>
      </c>
      <c r="AI258" t="s">
        <v>68</v>
      </c>
      <c r="AJ258" t="s">
        <v>74</v>
      </c>
      <c r="AK258" t="s">
        <v>70</v>
      </c>
    </row>
    <row r="259" spans="1:37" x14ac:dyDescent="0.2">
      <c r="A259">
        <v>40</v>
      </c>
      <c r="B259" t="s">
        <v>43</v>
      </c>
      <c r="C259" t="s">
        <v>67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v>0</v>
      </c>
      <c r="AH259">
        <v>0</v>
      </c>
      <c r="AI259" t="s">
        <v>68</v>
      </c>
      <c r="AJ259" t="s">
        <v>81</v>
      </c>
      <c r="AK259" t="s">
        <v>73</v>
      </c>
    </row>
    <row r="260" spans="1:37" x14ac:dyDescent="0.2">
      <c r="A260">
        <v>51</v>
      </c>
      <c r="B260" t="s">
        <v>43</v>
      </c>
      <c r="C260" t="s">
        <v>67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72</v>
      </c>
      <c r="AJ260" t="s">
        <v>74</v>
      </c>
      <c r="AK260" t="s">
        <v>75</v>
      </c>
    </row>
    <row r="261" spans="1:37" x14ac:dyDescent="0.2">
      <c r="A261">
        <v>31</v>
      </c>
      <c r="B261" t="s">
        <v>35</v>
      </c>
      <c r="C261" t="s">
        <v>71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v>1</v>
      </c>
      <c r="AH261">
        <v>0</v>
      </c>
      <c r="AI261" t="s">
        <v>76</v>
      </c>
      <c r="AJ261" t="s">
        <v>69</v>
      </c>
      <c r="AK261" t="s">
        <v>70</v>
      </c>
    </row>
    <row r="262" spans="1:37" x14ac:dyDescent="0.2">
      <c r="A262">
        <v>32</v>
      </c>
      <c r="B262" t="s">
        <v>43</v>
      </c>
      <c r="C262" t="s">
        <v>71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v>0</v>
      </c>
      <c r="AH262">
        <v>0</v>
      </c>
      <c r="AI262" t="s">
        <v>76</v>
      </c>
      <c r="AJ262" t="s">
        <v>74</v>
      </c>
      <c r="AK262" t="s">
        <v>70</v>
      </c>
    </row>
    <row r="263" spans="1:37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v>0</v>
      </c>
      <c r="AH263">
        <v>0</v>
      </c>
      <c r="AI263" t="s">
        <v>68</v>
      </c>
      <c r="AJ263" t="s">
        <v>69</v>
      </c>
      <c r="AK263" t="s">
        <v>70</v>
      </c>
    </row>
    <row r="264" spans="1:37" x14ac:dyDescent="0.2">
      <c r="A264">
        <v>32</v>
      </c>
      <c r="B264" t="s">
        <v>43</v>
      </c>
      <c r="C264" t="s">
        <v>67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v>0</v>
      </c>
      <c r="AH264">
        <v>0</v>
      </c>
      <c r="AI264" t="s">
        <v>76</v>
      </c>
      <c r="AJ264" t="s">
        <v>74</v>
      </c>
      <c r="AK264" t="s">
        <v>70</v>
      </c>
    </row>
    <row r="265" spans="1:37" x14ac:dyDescent="0.2">
      <c r="A265">
        <v>46</v>
      </c>
      <c r="B265" t="s">
        <v>43</v>
      </c>
      <c r="C265" t="s">
        <v>67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v>0</v>
      </c>
      <c r="AH265">
        <v>1</v>
      </c>
      <c r="AI265" t="s">
        <v>72</v>
      </c>
      <c r="AJ265" t="s">
        <v>81</v>
      </c>
      <c r="AK265" t="s">
        <v>70</v>
      </c>
    </row>
    <row r="266" spans="1:37" x14ac:dyDescent="0.2">
      <c r="A266">
        <v>28</v>
      </c>
      <c r="B266" t="s">
        <v>35</v>
      </c>
      <c r="C266" t="s">
        <v>67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 t="s">
        <v>76</v>
      </c>
      <c r="AJ266" t="s">
        <v>69</v>
      </c>
      <c r="AK266" t="s">
        <v>75</v>
      </c>
    </row>
    <row r="267" spans="1:37" x14ac:dyDescent="0.2">
      <c r="A267">
        <v>29</v>
      </c>
      <c r="B267" t="s">
        <v>43</v>
      </c>
      <c r="C267" t="s">
        <v>67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76</v>
      </c>
      <c r="AJ267" t="s">
        <v>79</v>
      </c>
      <c r="AK267" t="s">
        <v>75</v>
      </c>
    </row>
    <row r="268" spans="1:37" x14ac:dyDescent="0.2">
      <c r="A268">
        <v>31</v>
      </c>
      <c r="B268" t="s">
        <v>43</v>
      </c>
      <c r="C268" t="s">
        <v>67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v>0</v>
      </c>
      <c r="AH268">
        <v>0</v>
      </c>
      <c r="AI268" t="s">
        <v>76</v>
      </c>
      <c r="AJ268" t="s">
        <v>69</v>
      </c>
      <c r="AK268" t="s">
        <v>70</v>
      </c>
    </row>
    <row r="269" spans="1:37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v>0</v>
      </c>
      <c r="AH269">
        <v>0</v>
      </c>
      <c r="AI269" t="s">
        <v>76</v>
      </c>
      <c r="AJ269" t="s">
        <v>69</v>
      </c>
      <c r="AK269" t="s">
        <v>70</v>
      </c>
    </row>
    <row r="270" spans="1:37" x14ac:dyDescent="0.2">
      <c r="A270">
        <v>45</v>
      </c>
      <c r="B270" t="s">
        <v>43</v>
      </c>
      <c r="C270" t="s">
        <v>67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v>0</v>
      </c>
      <c r="AH270">
        <v>1</v>
      </c>
      <c r="AI270" t="s">
        <v>72</v>
      </c>
      <c r="AJ270" t="s">
        <v>81</v>
      </c>
      <c r="AK270" t="s">
        <v>73</v>
      </c>
    </row>
    <row r="271" spans="1:37" x14ac:dyDescent="0.2">
      <c r="A271">
        <v>36</v>
      </c>
      <c r="B271" t="s">
        <v>43</v>
      </c>
      <c r="C271" t="s">
        <v>67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v>0</v>
      </c>
      <c r="AH271">
        <v>0</v>
      </c>
      <c r="AI271" t="s">
        <v>68</v>
      </c>
      <c r="AJ271" t="s">
        <v>69</v>
      </c>
      <c r="AK271" t="s">
        <v>73</v>
      </c>
    </row>
    <row r="272" spans="1:37" x14ac:dyDescent="0.2">
      <c r="A272">
        <v>55</v>
      </c>
      <c r="B272" t="s">
        <v>43</v>
      </c>
      <c r="C272" t="s">
        <v>67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v>0</v>
      </c>
      <c r="AH272">
        <v>1</v>
      </c>
      <c r="AI272" t="s">
        <v>78</v>
      </c>
      <c r="AJ272" t="s">
        <v>81</v>
      </c>
      <c r="AK272" t="s">
        <v>73</v>
      </c>
    </row>
    <row r="273" spans="1:37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v>1</v>
      </c>
      <c r="AH273">
        <v>1</v>
      </c>
      <c r="AI273" t="s">
        <v>72</v>
      </c>
      <c r="AJ273" t="s">
        <v>81</v>
      </c>
      <c r="AK273" t="s">
        <v>73</v>
      </c>
    </row>
    <row r="274" spans="1:37" x14ac:dyDescent="0.2">
      <c r="A274">
        <v>28</v>
      </c>
      <c r="B274" t="s">
        <v>43</v>
      </c>
      <c r="C274" t="s">
        <v>67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v>0</v>
      </c>
      <c r="AH274">
        <v>0</v>
      </c>
      <c r="AI274" t="s">
        <v>76</v>
      </c>
      <c r="AJ274" t="s">
        <v>74</v>
      </c>
      <c r="AK274" t="s">
        <v>70</v>
      </c>
    </row>
    <row r="275" spans="1:37" x14ac:dyDescent="0.2">
      <c r="A275">
        <v>37</v>
      </c>
      <c r="B275" t="s">
        <v>43</v>
      </c>
      <c r="C275" t="s">
        <v>67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v>0</v>
      </c>
      <c r="AH275">
        <v>0</v>
      </c>
      <c r="AI275" t="s">
        <v>68</v>
      </c>
      <c r="AJ275" t="s">
        <v>79</v>
      </c>
      <c r="AK275" t="s">
        <v>70</v>
      </c>
    </row>
    <row r="276" spans="1:37" x14ac:dyDescent="0.2">
      <c r="A276">
        <v>21</v>
      </c>
      <c r="B276" t="s">
        <v>43</v>
      </c>
      <c r="C276" t="s">
        <v>67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v>0</v>
      </c>
      <c r="AH276">
        <v>0</v>
      </c>
      <c r="AI276" t="s">
        <v>80</v>
      </c>
      <c r="AJ276" t="s">
        <v>69</v>
      </c>
      <c r="AK276" t="s">
        <v>77</v>
      </c>
    </row>
    <row r="277" spans="1:37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v>0</v>
      </c>
      <c r="AH277">
        <v>1</v>
      </c>
      <c r="AI277" t="s">
        <v>68</v>
      </c>
      <c r="AJ277" t="s">
        <v>81</v>
      </c>
      <c r="AK277" t="s">
        <v>70</v>
      </c>
    </row>
    <row r="278" spans="1:37" x14ac:dyDescent="0.2">
      <c r="A278">
        <v>35</v>
      </c>
      <c r="B278" t="s">
        <v>43</v>
      </c>
      <c r="C278" t="s">
        <v>67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v>0</v>
      </c>
      <c r="AH278">
        <v>0</v>
      </c>
      <c r="AI278" t="s">
        <v>68</v>
      </c>
      <c r="AJ278" t="s">
        <v>81</v>
      </c>
      <c r="AK278" t="s">
        <v>70</v>
      </c>
    </row>
    <row r="279" spans="1:37" x14ac:dyDescent="0.2">
      <c r="A279">
        <v>38</v>
      </c>
      <c r="B279" t="s">
        <v>43</v>
      </c>
      <c r="C279" t="s">
        <v>67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v>0</v>
      </c>
      <c r="AH279">
        <v>1</v>
      </c>
      <c r="AI279" t="s">
        <v>68</v>
      </c>
      <c r="AJ279" t="s">
        <v>69</v>
      </c>
      <c r="AK279" t="s">
        <v>70</v>
      </c>
    </row>
    <row r="280" spans="1:37" x14ac:dyDescent="0.2">
      <c r="A280">
        <v>26</v>
      </c>
      <c r="B280" t="s">
        <v>43</v>
      </c>
      <c r="C280" t="s">
        <v>71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v>0</v>
      </c>
      <c r="AH280">
        <v>0</v>
      </c>
      <c r="AI280" t="s">
        <v>76</v>
      </c>
      <c r="AJ280" t="s">
        <v>79</v>
      </c>
      <c r="AK280" t="s">
        <v>70</v>
      </c>
    </row>
    <row r="281" spans="1:37" x14ac:dyDescent="0.2">
      <c r="A281">
        <v>50</v>
      </c>
      <c r="B281" t="s">
        <v>43</v>
      </c>
      <c r="C281" t="s">
        <v>67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v>0</v>
      </c>
      <c r="AH281">
        <v>0</v>
      </c>
      <c r="AI281" t="s">
        <v>72</v>
      </c>
      <c r="AJ281" t="s">
        <v>81</v>
      </c>
      <c r="AK281" t="s">
        <v>73</v>
      </c>
    </row>
    <row r="282" spans="1:37" x14ac:dyDescent="0.2">
      <c r="A282">
        <v>53</v>
      </c>
      <c r="B282" t="s">
        <v>43</v>
      </c>
      <c r="C282" t="s">
        <v>67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v>0</v>
      </c>
      <c r="AH282">
        <v>1</v>
      </c>
      <c r="AI282" t="s">
        <v>72</v>
      </c>
      <c r="AJ282" t="s">
        <v>81</v>
      </c>
      <c r="AK282" t="s">
        <v>70</v>
      </c>
    </row>
    <row r="283" spans="1:37" x14ac:dyDescent="0.2">
      <c r="A283">
        <v>42</v>
      </c>
      <c r="B283" t="s">
        <v>43</v>
      </c>
      <c r="C283" t="s">
        <v>67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v>0</v>
      </c>
      <c r="AH283">
        <v>0</v>
      </c>
      <c r="AI283" t="s">
        <v>68</v>
      </c>
      <c r="AJ283" t="s">
        <v>69</v>
      </c>
      <c r="AK283" t="s">
        <v>73</v>
      </c>
    </row>
    <row r="284" spans="1:37" x14ac:dyDescent="0.2">
      <c r="A284">
        <v>29</v>
      </c>
      <c r="B284" t="s">
        <v>43</v>
      </c>
      <c r="C284" t="s">
        <v>71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v>0</v>
      </c>
      <c r="AH284">
        <v>0</v>
      </c>
      <c r="AI284" t="s">
        <v>76</v>
      </c>
      <c r="AJ284" t="s">
        <v>69</v>
      </c>
      <c r="AK284" t="s">
        <v>73</v>
      </c>
    </row>
    <row r="285" spans="1:37" x14ac:dyDescent="0.2">
      <c r="A285">
        <v>55</v>
      </c>
      <c r="B285" t="s">
        <v>43</v>
      </c>
      <c r="C285" t="s">
        <v>67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v>0</v>
      </c>
      <c r="AH285">
        <v>1</v>
      </c>
      <c r="AI285" t="s">
        <v>78</v>
      </c>
      <c r="AJ285" t="s">
        <v>69</v>
      </c>
      <c r="AK285" t="s">
        <v>73</v>
      </c>
    </row>
    <row r="286" spans="1:37" x14ac:dyDescent="0.2">
      <c r="A286">
        <v>26</v>
      </c>
      <c r="B286" t="s">
        <v>43</v>
      </c>
      <c r="C286" t="s">
        <v>71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v>0</v>
      </c>
      <c r="AH286">
        <v>1</v>
      </c>
      <c r="AI286" t="s">
        <v>76</v>
      </c>
      <c r="AJ286" t="s">
        <v>69</v>
      </c>
      <c r="AK286" t="s">
        <v>70</v>
      </c>
    </row>
    <row r="287" spans="1:37" x14ac:dyDescent="0.2">
      <c r="A287">
        <v>37</v>
      </c>
      <c r="B287" t="s">
        <v>43</v>
      </c>
      <c r="C287" t="s">
        <v>67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v>0</v>
      </c>
      <c r="AH287">
        <v>0</v>
      </c>
      <c r="AI287" t="s">
        <v>68</v>
      </c>
      <c r="AJ287" t="s">
        <v>74</v>
      </c>
      <c r="AK287" t="s">
        <v>73</v>
      </c>
    </row>
    <row r="288" spans="1:37" x14ac:dyDescent="0.2">
      <c r="A288">
        <v>44</v>
      </c>
      <c r="B288" t="s">
        <v>35</v>
      </c>
      <c r="C288" t="s">
        <v>71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1</v>
      </c>
      <c r="AH288">
        <v>1</v>
      </c>
      <c r="AI288" t="s">
        <v>68</v>
      </c>
      <c r="AJ288" t="s">
        <v>69</v>
      </c>
      <c r="AK288" t="s">
        <v>75</v>
      </c>
    </row>
    <row r="289" spans="1:37" x14ac:dyDescent="0.2">
      <c r="A289">
        <v>38</v>
      </c>
      <c r="B289" t="s">
        <v>43</v>
      </c>
      <c r="C289" t="s">
        <v>67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v>0</v>
      </c>
      <c r="AH289">
        <v>0</v>
      </c>
      <c r="AI289" t="s">
        <v>68</v>
      </c>
      <c r="AJ289" t="s">
        <v>69</v>
      </c>
      <c r="AK289" t="s">
        <v>77</v>
      </c>
    </row>
    <row r="290" spans="1:37" x14ac:dyDescent="0.2">
      <c r="A290">
        <v>26</v>
      </c>
      <c r="B290" t="s">
        <v>35</v>
      </c>
      <c r="C290" t="s">
        <v>67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v>1</v>
      </c>
      <c r="AH290">
        <v>1</v>
      </c>
      <c r="AI290" t="s">
        <v>76</v>
      </c>
      <c r="AJ290" t="s">
        <v>74</v>
      </c>
      <c r="AK290" t="s">
        <v>77</v>
      </c>
    </row>
    <row r="291" spans="1:37" x14ac:dyDescent="0.2">
      <c r="A291">
        <v>28</v>
      </c>
      <c r="B291" t="s">
        <v>43</v>
      </c>
      <c r="C291" t="s">
        <v>67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v>0</v>
      </c>
      <c r="AH291">
        <v>0</v>
      </c>
      <c r="AI291" t="s">
        <v>76</v>
      </c>
      <c r="AJ291" t="s">
        <v>69</v>
      </c>
      <c r="AK291" t="s">
        <v>70</v>
      </c>
    </row>
    <row r="292" spans="1:37" x14ac:dyDescent="0.2">
      <c r="A292">
        <v>49</v>
      </c>
      <c r="B292" t="s">
        <v>43</v>
      </c>
      <c r="C292" t="s">
        <v>71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v>0</v>
      </c>
      <c r="AH292">
        <v>1</v>
      </c>
      <c r="AI292" t="s">
        <v>72</v>
      </c>
      <c r="AJ292" t="s">
        <v>81</v>
      </c>
      <c r="AK292" t="s">
        <v>77</v>
      </c>
    </row>
    <row r="293" spans="1:37" x14ac:dyDescent="0.2">
      <c r="A293">
        <v>36</v>
      </c>
      <c r="B293" t="s">
        <v>43</v>
      </c>
      <c r="C293" t="s">
        <v>67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v>0</v>
      </c>
      <c r="AH293">
        <v>0</v>
      </c>
      <c r="AI293" t="s">
        <v>68</v>
      </c>
      <c r="AJ293" t="s">
        <v>69</v>
      </c>
      <c r="AK293" t="s">
        <v>70</v>
      </c>
    </row>
    <row r="294" spans="1:37" x14ac:dyDescent="0.2">
      <c r="A294">
        <v>31</v>
      </c>
      <c r="B294" t="s">
        <v>43</v>
      </c>
      <c r="C294" t="s">
        <v>71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0</v>
      </c>
      <c r="AH294">
        <v>0</v>
      </c>
      <c r="AI294" t="s">
        <v>76</v>
      </c>
      <c r="AJ294" t="s">
        <v>74</v>
      </c>
      <c r="AK294" t="s">
        <v>77</v>
      </c>
    </row>
    <row r="295" spans="1:37" x14ac:dyDescent="0.2">
      <c r="A295">
        <v>26</v>
      </c>
      <c r="B295" t="s">
        <v>35</v>
      </c>
      <c r="C295" t="s">
        <v>67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v>1</v>
      </c>
      <c r="AH295">
        <v>1</v>
      </c>
      <c r="AI295" t="s">
        <v>76</v>
      </c>
      <c r="AJ295" t="s">
        <v>69</v>
      </c>
      <c r="AK295" t="s">
        <v>70</v>
      </c>
    </row>
    <row r="296" spans="1:37" x14ac:dyDescent="0.2">
      <c r="A296">
        <v>37</v>
      </c>
      <c r="B296" t="s">
        <v>43</v>
      </c>
      <c r="C296" t="s">
        <v>71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v>0</v>
      </c>
      <c r="AH296">
        <v>1</v>
      </c>
      <c r="AI296" t="s">
        <v>68</v>
      </c>
      <c r="AJ296" t="s">
        <v>74</v>
      </c>
      <c r="AK296" t="s">
        <v>77</v>
      </c>
    </row>
    <row r="297" spans="1:37" x14ac:dyDescent="0.2">
      <c r="A297">
        <v>42</v>
      </c>
      <c r="B297" t="s">
        <v>43</v>
      </c>
      <c r="C297" t="s">
        <v>71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v>0</v>
      </c>
      <c r="AH297">
        <v>0</v>
      </c>
      <c r="AI297" t="s">
        <v>68</v>
      </c>
      <c r="AJ297" t="s">
        <v>81</v>
      </c>
      <c r="AK297" t="s">
        <v>73</v>
      </c>
    </row>
    <row r="298" spans="1:37" x14ac:dyDescent="0.2">
      <c r="A298">
        <v>18</v>
      </c>
      <c r="B298" t="s">
        <v>35</v>
      </c>
      <c r="C298" t="s">
        <v>67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 t="s">
        <v>80</v>
      </c>
      <c r="AJ298" t="s">
        <v>74</v>
      </c>
      <c r="AK298" t="s">
        <v>75</v>
      </c>
    </row>
    <row r="299" spans="1:37" x14ac:dyDescent="0.2">
      <c r="A299">
        <v>35</v>
      </c>
      <c r="B299" t="s">
        <v>43</v>
      </c>
      <c r="C299" t="s">
        <v>67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v>0</v>
      </c>
      <c r="AH299">
        <v>0</v>
      </c>
      <c r="AI299" t="s">
        <v>68</v>
      </c>
      <c r="AJ299" t="s">
        <v>79</v>
      </c>
      <c r="AK299" t="s">
        <v>73</v>
      </c>
    </row>
    <row r="300" spans="1:37" x14ac:dyDescent="0.2">
      <c r="A300">
        <v>36</v>
      </c>
      <c r="B300" t="s">
        <v>43</v>
      </c>
      <c r="C300" t="s">
        <v>71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68</v>
      </c>
      <c r="AJ300" t="s">
        <v>69</v>
      </c>
      <c r="AK300" t="s">
        <v>75</v>
      </c>
    </row>
    <row r="301" spans="1:37" x14ac:dyDescent="0.2">
      <c r="A301">
        <v>51</v>
      </c>
      <c r="B301" t="s">
        <v>43</v>
      </c>
      <c r="C301" t="s">
        <v>67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v>0</v>
      </c>
      <c r="AH301">
        <v>0</v>
      </c>
      <c r="AI301" t="s">
        <v>72</v>
      </c>
      <c r="AJ301" t="s">
        <v>69</v>
      </c>
      <c r="AK301" t="s">
        <v>77</v>
      </c>
    </row>
    <row r="302" spans="1:37" x14ac:dyDescent="0.2">
      <c r="A302">
        <v>41</v>
      </c>
      <c r="B302" t="s">
        <v>43</v>
      </c>
      <c r="C302" t="s">
        <v>67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v>0</v>
      </c>
      <c r="AH302">
        <v>0</v>
      </c>
      <c r="AI302" t="s">
        <v>68</v>
      </c>
      <c r="AJ302" t="s">
        <v>81</v>
      </c>
      <c r="AK302" t="s">
        <v>73</v>
      </c>
    </row>
    <row r="303" spans="1:37" x14ac:dyDescent="0.2">
      <c r="A303">
        <v>18</v>
      </c>
      <c r="B303" t="s">
        <v>43</v>
      </c>
      <c r="C303" t="s">
        <v>67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80</v>
      </c>
      <c r="AJ303" t="s">
        <v>74</v>
      </c>
      <c r="AK303" t="s">
        <v>75</v>
      </c>
    </row>
    <row r="304" spans="1:37" x14ac:dyDescent="0.2">
      <c r="A304">
        <v>28</v>
      </c>
      <c r="B304" t="s">
        <v>43</v>
      </c>
      <c r="C304" t="s">
        <v>67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v>0</v>
      </c>
      <c r="AH304">
        <v>0</v>
      </c>
      <c r="AI304" t="s">
        <v>76</v>
      </c>
      <c r="AJ304" t="s">
        <v>69</v>
      </c>
      <c r="AK304" t="s">
        <v>70</v>
      </c>
    </row>
    <row r="305" spans="1:37" x14ac:dyDescent="0.2">
      <c r="A305">
        <v>31</v>
      </c>
      <c r="B305" t="s">
        <v>43</v>
      </c>
      <c r="C305" t="s">
        <v>67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v>0</v>
      </c>
      <c r="AH305">
        <v>0</v>
      </c>
      <c r="AI305" t="s">
        <v>76</v>
      </c>
      <c r="AJ305" t="s">
        <v>79</v>
      </c>
      <c r="AK305" t="s">
        <v>70</v>
      </c>
    </row>
    <row r="306" spans="1:37" x14ac:dyDescent="0.2">
      <c r="A306">
        <v>39</v>
      </c>
      <c r="B306" t="s">
        <v>43</v>
      </c>
      <c r="C306" t="s">
        <v>67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v>0</v>
      </c>
      <c r="AH306">
        <v>0</v>
      </c>
      <c r="AI306" t="s">
        <v>68</v>
      </c>
      <c r="AJ306" t="s">
        <v>79</v>
      </c>
      <c r="AK306" t="s">
        <v>73</v>
      </c>
    </row>
    <row r="307" spans="1:37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v>0</v>
      </c>
      <c r="AH307">
        <v>0</v>
      </c>
      <c r="AI307" t="s">
        <v>68</v>
      </c>
      <c r="AJ307" t="s">
        <v>69</v>
      </c>
      <c r="AK307" t="s">
        <v>70</v>
      </c>
    </row>
    <row r="308" spans="1:37" x14ac:dyDescent="0.2">
      <c r="A308">
        <v>32</v>
      </c>
      <c r="B308" t="s">
        <v>43</v>
      </c>
      <c r="C308" t="s">
        <v>67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v>0</v>
      </c>
      <c r="AH308">
        <v>0</v>
      </c>
      <c r="AI308" t="s">
        <v>76</v>
      </c>
      <c r="AJ308" t="s">
        <v>69</v>
      </c>
      <c r="AK308" t="s">
        <v>73</v>
      </c>
    </row>
    <row r="309" spans="1:37" x14ac:dyDescent="0.2">
      <c r="A309">
        <v>38</v>
      </c>
      <c r="B309" t="s">
        <v>43</v>
      </c>
      <c r="C309" t="s">
        <v>67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v>0</v>
      </c>
      <c r="AH309">
        <v>0</v>
      </c>
      <c r="AI309" t="s">
        <v>68</v>
      </c>
      <c r="AJ309" t="s">
        <v>81</v>
      </c>
      <c r="AK309" t="s">
        <v>73</v>
      </c>
    </row>
    <row r="310" spans="1:37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v>0</v>
      </c>
      <c r="AH310">
        <v>1</v>
      </c>
      <c r="AI310" t="s">
        <v>78</v>
      </c>
      <c r="AJ310" t="s">
        <v>69</v>
      </c>
      <c r="AK310" t="s">
        <v>70</v>
      </c>
    </row>
    <row r="311" spans="1:37" x14ac:dyDescent="0.2">
      <c r="A311">
        <v>31</v>
      </c>
      <c r="B311" t="s">
        <v>43</v>
      </c>
      <c r="C311" t="s">
        <v>67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v>0</v>
      </c>
      <c r="AH311">
        <v>1</v>
      </c>
      <c r="AI311" t="s">
        <v>76</v>
      </c>
      <c r="AJ311" t="s">
        <v>69</v>
      </c>
      <c r="AK311" t="s">
        <v>70</v>
      </c>
    </row>
    <row r="312" spans="1:37" x14ac:dyDescent="0.2">
      <c r="A312">
        <v>31</v>
      </c>
      <c r="B312" t="s">
        <v>43</v>
      </c>
      <c r="C312" t="s">
        <v>67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v>0</v>
      </c>
      <c r="AH312">
        <v>0</v>
      </c>
      <c r="AI312" t="s">
        <v>76</v>
      </c>
      <c r="AJ312" t="s">
        <v>79</v>
      </c>
      <c r="AK312" t="s">
        <v>77</v>
      </c>
    </row>
    <row r="313" spans="1:37" x14ac:dyDescent="0.2">
      <c r="A313">
        <v>45</v>
      </c>
      <c r="B313" t="s">
        <v>43</v>
      </c>
      <c r="C313" t="s">
        <v>71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v>0</v>
      </c>
      <c r="AH313">
        <v>0</v>
      </c>
      <c r="AI313" t="s">
        <v>72</v>
      </c>
      <c r="AJ313" t="s">
        <v>69</v>
      </c>
      <c r="AK313" t="s">
        <v>73</v>
      </c>
    </row>
    <row r="314" spans="1:37" x14ac:dyDescent="0.2">
      <c r="A314">
        <v>31</v>
      </c>
      <c r="B314" t="s">
        <v>43</v>
      </c>
      <c r="C314" t="s">
        <v>67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v>0</v>
      </c>
      <c r="AH314">
        <v>1</v>
      </c>
      <c r="AI314" t="s">
        <v>76</v>
      </c>
      <c r="AJ314" t="s">
        <v>74</v>
      </c>
      <c r="AK314" t="s">
        <v>77</v>
      </c>
    </row>
    <row r="315" spans="1:37" x14ac:dyDescent="0.2">
      <c r="A315">
        <v>33</v>
      </c>
      <c r="B315" t="s">
        <v>43</v>
      </c>
      <c r="C315" t="s">
        <v>71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v>0</v>
      </c>
      <c r="AH315">
        <v>0</v>
      </c>
      <c r="AI315" t="s">
        <v>76</v>
      </c>
      <c r="AJ315" t="s">
        <v>81</v>
      </c>
      <c r="AK315" t="s">
        <v>73</v>
      </c>
    </row>
    <row r="316" spans="1:37" x14ac:dyDescent="0.2">
      <c r="A316">
        <v>39</v>
      </c>
      <c r="B316" t="s">
        <v>43</v>
      </c>
      <c r="C316" t="s">
        <v>67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v>0</v>
      </c>
      <c r="AH316">
        <v>1</v>
      </c>
      <c r="AI316" t="s">
        <v>68</v>
      </c>
      <c r="AJ316" t="s">
        <v>81</v>
      </c>
      <c r="AK316" t="s">
        <v>73</v>
      </c>
    </row>
    <row r="317" spans="1:37" x14ac:dyDescent="0.2">
      <c r="A317">
        <v>43</v>
      </c>
      <c r="B317" t="s">
        <v>43</v>
      </c>
      <c r="C317" t="s">
        <v>71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v>0</v>
      </c>
      <c r="AH317">
        <v>0</v>
      </c>
      <c r="AI317" t="s">
        <v>68</v>
      </c>
      <c r="AJ317" t="s">
        <v>74</v>
      </c>
      <c r="AK317" t="s">
        <v>70</v>
      </c>
    </row>
    <row r="318" spans="1:37" x14ac:dyDescent="0.2">
      <c r="A318">
        <v>49</v>
      </c>
      <c r="B318" t="s">
        <v>43</v>
      </c>
      <c r="C318" t="s">
        <v>67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v>0</v>
      </c>
      <c r="AH318">
        <v>1</v>
      </c>
      <c r="AI318" t="s">
        <v>72</v>
      </c>
      <c r="AJ318" t="s">
        <v>81</v>
      </c>
      <c r="AK318" t="s">
        <v>70</v>
      </c>
    </row>
    <row r="319" spans="1:37" x14ac:dyDescent="0.2">
      <c r="A319">
        <v>52</v>
      </c>
      <c r="B319" t="s">
        <v>35</v>
      </c>
      <c r="C319" t="s">
        <v>67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v>1</v>
      </c>
      <c r="AH319">
        <v>0</v>
      </c>
      <c r="AI319" t="s">
        <v>72</v>
      </c>
      <c r="AJ319" t="s">
        <v>69</v>
      </c>
      <c r="AK319" t="s">
        <v>70</v>
      </c>
    </row>
    <row r="320" spans="1:37" x14ac:dyDescent="0.2">
      <c r="A320">
        <v>27</v>
      </c>
      <c r="B320" t="s">
        <v>43</v>
      </c>
      <c r="C320" t="s">
        <v>67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v>0</v>
      </c>
      <c r="AH320">
        <v>1</v>
      </c>
      <c r="AI320" t="s">
        <v>76</v>
      </c>
      <c r="AJ320" t="s">
        <v>74</v>
      </c>
      <c r="AK320" t="s">
        <v>77</v>
      </c>
    </row>
    <row r="321" spans="1:37" x14ac:dyDescent="0.2">
      <c r="A321">
        <v>32</v>
      </c>
      <c r="B321" t="s">
        <v>43</v>
      </c>
      <c r="C321" t="s">
        <v>67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v>0</v>
      </c>
      <c r="AH321">
        <v>1</v>
      </c>
      <c r="AI321" t="s">
        <v>76</v>
      </c>
      <c r="AJ321" t="s">
        <v>69</v>
      </c>
      <c r="AK321" t="s">
        <v>73</v>
      </c>
    </row>
    <row r="322" spans="1:37" x14ac:dyDescent="0.2">
      <c r="A322">
        <v>27</v>
      </c>
      <c r="B322" t="s">
        <v>43</v>
      </c>
      <c r="C322" t="s">
        <v>67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v>0</v>
      </c>
      <c r="AH322">
        <v>1</v>
      </c>
      <c r="AI322" t="s">
        <v>76</v>
      </c>
      <c r="AJ322" t="s">
        <v>69</v>
      </c>
      <c r="AK322" t="s">
        <v>70</v>
      </c>
    </row>
    <row r="323" spans="1:37" x14ac:dyDescent="0.2">
      <c r="A323">
        <v>31</v>
      </c>
      <c r="B323" t="s">
        <v>43</v>
      </c>
      <c r="C323" t="s">
        <v>67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v>0</v>
      </c>
      <c r="AH323">
        <v>0</v>
      </c>
      <c r="AI323" t="s">
        <v>76</v>
      </c>
      <c r="AJ323" t="s">
        <v>79</v>
      </c>
      <c r="AK323" t="s">
        <v>70</v>
      </c>
    </row>
    <row r="324" spans="1:37" x14ac:dyDescent="0.2">
      <c r="A324">
        <v>32</v>
      </c>
      <c r="B324" t="s">
        <v>43</v>
      </c>
      <c r="C324" t="s">
        <v>67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v>0</v>
      </c>
      <c r="AH324">
        <v>0</v>
      </c>
      <c r="AI324" t="s">
        <v>76</v>
      </c>
      <c r="AJ324" t="s">
        <v>69</v>
      </c>
      <c r="AK324" t="s">
        <v>70</v>
      </c>
    </row>
    <row r="325" spans="1:37" x14ac:dyDescent="0.2">
      <c r="A325">
        <v>28</v>
      </c>
      <c r="B325" t="s">
        <v>35</v>
      </c>
      <c r="C325" t="s">
        <v>67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v>1</v>
      </c>
      <c r="AH325">
        <v>1</v>
      </c>
      <c r="AI325" t="s">
        <v>76</v>
      </c>
      <c r="AJ325" t="s">
        <v>69</v>
      </c>
      <c r="AK325" t="s">
        <v>77</v>
      </c>
    </row>
    <row r="326" spans="1:37" x14ac:dyDescent="0.2">
      <c r="A326">
        <v>30</v>
      </c>
      <c r="B326" t="s">
        <v>43</v>
      </c>
      <c r="C326" t="s">
        <v>67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v>0</v>
      </c>
      <c r="AH326">
        <v>0</v>
      </c>
      <c r="AI326" t="s">
        <v>76</v>
      </c>
      <c r="AJ326" t="s">
        <v>69</v>
      </c>
      <c r="AK326" t="s">
        <v>73</v>
      </c>
    </row>
    <row r="327" spans="1:37" x14ac:dyDescent="0.2">
      <c r="A327">
        <v>31</v>
      </c>
      <c r="B327" t="s">
        <v>43</v>
      </c>
      <c r="C327" t="s">
        <v>71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v>0</v>
      </c>
      <c r="AH327">
        <v>0</v>
      </c>
      <c r="AI327" t="s">
        <v>76</v>
      </c>
      <c r="AJ327" t="s">
        <v>79</v>
      </c>
      <c r="AK327" t="s">
        <v>73</v>
      </c>
    </row>
    <row r="328" spans="1:37" x14ac:dyDescent="0.2">
      <c r="A328">
        <v>39</v>
      </c>
      <c r="B328" t="s">
        <v>43</v>
      </c>
      <c r="C328" t="s">
        <v>71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v>0</v>
      </c>
      <c r="AH328">
        <v>0</v>
      </c>
      <c r="AI328" t="s">
        <v>68</v>
      </c>
      <c r="AJ328" t="s">
        <v>81</v>
      </c>
      <c r="AK328" t="s">
        <v>73</v>
      </c>
    </row>
    <row r="329" spans="1:37" x14ac:dyDescent="0.2">
      <c r="A329">
        <v>39</v>
      </c>
      <c r="B329" t="s">
        <v>35</v>
      </c>
      <c r="C329" t="s">
        <v>67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1</v>
      </c>
      <c r="AI329" t="s">
        <v>68</v>
      </c>
      <c r="AJ329" t="s">
        <v>69</v>
      </c>
      <c r="AK329" t="s">
        <v>75</v>
      </c>
    </row>
    <row r="330" spans="1:37" x14ac:dyDescent="0.2">
      <c r="A330">
        <v>33</v>
      </c>
      <c r="B330" t="s">
        <v>43</v>
      </c>
      <c r="C330" t="s">
        <v>71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v>0</v>
      </c>
      <c r="AH330">
        <v>0</v>
      </c>
      <c r="AI330" t="s">
        <v>76</v>
      </c>
      <c r="AJ330" t="s">
        <v>69</v>
      </c>
      <c r="AK330" t="s">
        <v>70</v>
      </c>
    </row>
    <row r="331" spans="1:37" x14ac:dyDescent="0.2">
      <c r="A331">
        <v>47</v>
      </c>
      <c r="B331" t="s">
        <v>43</v>
      </c>
      <c r="C331" t="s">
        <v>67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v>0</v>
      </c>
      <c r="AH331">
        <v>0</v>
      </c>
      <c r="AI331" t="s">
        <v>72</v>
      </c>
      <c r="AJ331" t="s">
        <v>81</v>
      </c>
      <c r="AK331" t="s">
        <v>77</v>
      </c>
    </row>
    <row r="332" spans="1:37" x14ac:dyDescent="0.2">
      <c r="A332">
        <v>43</v>
      </c>
      <c r="B332" t="s">
        <v>43</v>
      </c>
      <c r="C332" t="s">
        <v>71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v>0</v>
      </c>
      <c r="AH332">
        <v>0</v>
      </c>
      <c r="AI332" t="s">
        <v>68</v>
      </c>
      <c r="AJ332" t="s">
        <v>69</v>
      </c>
      <c r="AK332" t="s">
        <v>70</v>
      </c>
    </row>
    <row r="333" spans="1:37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v>0</v>
      </c>
      <c r="AH333">
        <v>1</v>
      </c>
      <c r="AI333" t="s">
        <v>76</v>
      </c>
      <c r="AJ333" t="s">
        <v>79</v>
      </c>
      <c r="AK333" t="s">
        <v>70</v>
      </c>
    </row>
    <row r="334" spans="1:37" x14ac:dyDescent="0.2">
      <c r="A334">
        <v>54</v>
      </c>
      <c r="B334" t="s">
        <v>43</v>
      </c>
      <c r="C334" t="s">
        <v>71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v>0</v>
      </c>
      <c r="AH334">
        <v>0</v>
      </c>
      <c r="AI334" t="s">
        <v>72</v>
      </c>
      <c r="AJ334" t="s">
        <v>69</v>
      </c>
      <c r="AK334" t="s">
        <v>77</v>
      </c>
    </row>
    <row r="335" spans="1:37" x14ac:dyDescent="0.2">
      <c r="A335">
        <v>43</v>
      </c>
      <c r="B335" t="s">
        <v>43</v>
      </c>
      <c r="C335" t="s">
        <v>67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68</v>
      </c>
      <c r="AJ335" t="s">
        <v>79</v>
      </c>
      <c r="AK335" t="s">
        <v>75</v>
      </c>
    </row>
    <row r="336" spans="1:37" x14ac:dyDescent="0.2">
      <c r="A336">
        <v>45</v>
      </c>
      <c r="B336" t="s">
        <v>43</v>
      </c>
      <c r="C336" t="s">
        <v>67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v>0</v>
      </c>
      <c r="AH336">
        <v>0</v>
      </c>
      <c r="AI336" t="s">
        <v>72</v>
      </c>
      <c r="AJ336" t="s">
        <v>69</v>
      </c>
      <c r="AK336" t="s">
        <v>73</v>
      </c>
    </row>
    <row r="337" spans="1:37" x14ac:dyDescent="0.2">
      <c r="A337">
        <v>40</v>
      </c>
      <c r="B337" t="s">
        <v>43</v>
      </c>
      <c r="C337" t="s">
        <v>67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v>0</v>
      </c>
      <c r="AH337">
        <v>1</v>
      </c>
      <c r="AI337" t="s">
        <v>68</v>
      </c>
      <c r="AJ337" t="s">
        <v>79</v>
      </c>
      <c r="AK337" t="s">
        <v>77</v>
      </c>
    </row>
    <row r="338" spans="1:37" x14ac:dyDescent="0.2">
      <c r="A338">
        <v>29</v>
      </c>
      <c r="B338" t="s">
        <v>35</v>
      </c>
      <c r="C338" t="s">
        <v>67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v>1</v>
      </c>
      <c r="AH338">
        <v>1</v>
      </c>
      <c r="AI338" t="s">
        <v>76</v>
      </c>
      <c r="AJ338" t="s">
        <v>74</v>
      </c>
      <c r="AK338" t="s">
        <v>70</v>
      </c>
    </row>
    <row r="339" spans="1:37" x14ac:dyDescent="0.2">
      <c r="A339">
        <v>29</v>
      </c>
      <c r="B339" t="s">
        <v>43</v>
      </c>
      <c r="C339" t="s">
        <v>67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v>0</v>
      </c>
      <c r="AH339">
        <v>0</v>
      </c>
      <c r="AI339" t="s">
        <v>76</v>
      </c>
      <c r="AJ339" t="s">
        <v>69</v>
      </c>
      <c r="AK339" t="s">
        <v>77</v>
      </c>
    </row>
    <row r="340" spans="1:37" x14ac:dyDescent="0.2">
      <c r="A340">
        <v>30</v>
      </c>
      <c r="B340" t="s">
        <v>43</v>
      </c>
      <c r="C340" t="s">
        <v>67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v>0</v>
      </c>
      <c r="AH340">
        <v>0</v>
      </c>
      <c r="AI340" t="s">
        <v>76</v>
      </c>
      <c r="AJ340" t="s">
        <v>79</v>
      </c>
      <c r="AK340" t="s">
        <v>73</v>
      </c>
    </row>
    <row r="341" spans="1:37" x14ac:dyDescent="0.2">
      <c r="A341">
        <v>27</v>
      </c>
      <c r="B341" t="s">
        <v>43</v>
      </c>
      <c r="C341" t="s">
        <v>67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v>0</v>
      </c>
      <c r="AH341">
        <v>0</v>
      </c>
      <c r="AI341" t="s">
        <v>76</v>
      </c>
      <c r="AJ341" t="s">
        <v>79</v>
      </c>
      <c r="AK341" t="s">
        <v>70</v>
      </c>
    </row>
    <row r="342" spans="1:37" x14ac:dyDescent="0.2">
      <c r="A342">
        <v>37</v>
      </c>
      <c r="B342" t="s">
        <v>43</v>
      </c>
      <c r="C342" t="s">
        <v>67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v>0</v>
      </c>
      <c r="AH342">
        <v>0</v>
      </c>
      <c r="AI342" t="s">
        <v>68</v>
      </c>
      <c r="AJ342" t="s">
        <v>79</v>
      </c>
      <c r="AK342" t="s">
        <v>70</v>
      </c>
    </row>
    <row r="343" spans="1:37" x14ac:dyDescent="0.2">
      <c r="A343">
        <v>38</v>
      </c>
      <c r="B343" t="s">
        <v>43</v>
      </c>
      <c r="C343" t="s">
        <v>67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v>0</v>
      </c>
      <c r="AH343">
        <v>1</v>
      </c>
      <c r="AI343" t="s">
        <v>68</v>
      </c>
      <c r="AJ343" t="s">
        <v>81</v>
      </c>
      <c r="AK343" t="s">
        <v>73</v>
      </c>
    </row>
    <row r="344" spans="1:37" x14ac:dyDescent="0.2">
      <c r="A344">
        <v>31</v>
      </c>
      <c r="B344" t="s">
        <v>43</v>
      </c>
      <c r="C344" t="s">
        <v>67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v>0</v>
      </c>
      <c r="AH344">
        <v>1</v>
      </c>
      <c r="AI344" t="s">
        <v>76</v>
      </c>
      <c r="AJ344" t="s">
        <v>79</v>
      </c>
      <c r="AK344" t="s">
        <v>73</v>
      </c>
    </row>
    <row r="345" spans="1:37" x14ac:dyDescent="0.2">
      <c r="A345">
        <v>29</v>
      </c>
      <c r="B345" t="s">
        <v>43</v>
      </c>
      <c r="C345" t="s">
        <v>67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v>0</v>
      </c>
      <c r="AH345">
        <v>1</v>
      </c>
      <c r="AI345" t="s">
        <v>76</v>
      </c>
      <c r="AJ345" t="s">
        <v>79</v>
      </c>
      <c r="AK345" t="s">
        <v>70</v>
      </c>
    </row>
    <row r="346" spans="1:37" x14ac:dyDescent="0.2">
      <c r="A346">
        <v>35</v>
      </c>
      <c r="B346" t="s">
        <v>43</v>
      </c>
      <c r="C346" t="s">
        <v>67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v>0</v>
      </c>
      <c r="AH346">
        <v>0</v>
      </c>
      <c r="AI346" t="s">
        <v>68</v>
      </c>
      <c r="AJ346" t="s">
        <v>79</v>
      </c>
      <c r="AK346" t="s">
        <v>73</v>
      </c>
    </row>
    <row r="347" spans="1:37" x14ac:dyDescent="0.2">
      <c r="A347">
        <v>23</v>
      </c>
      <c r="B347" t="s">
        <v>43</v>
      </c>
      <c r="C347" t="s">
        <v>67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v>0</v>
      </c>
      <c r="AH347">
        <v>0</v>
      </c>
      <c r="AI347" t="s">
        <v>80</v>
      </c>
      <c r="AJ347" t="s">
        <v>74</v>
      </c>
      <c r="AK347" t="s">
        <v>77</v>
      </c>
    </row>
    <row r="348" spans="1:37" x14ac:dyDescent="0.2">
      <c r="A348">
        <v>41</v>
      </c>
      <c r="B348" t="s">
        <v>43</v>
      </c>
      <c r="C348" t="s">
        <v>67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v>0</v>
      </c>
      <c r="AH348">
        <v>1</v>
      </c>
      <c r="AI348" t="s">
        <v>68</v>
      </c>
      <c r="AJ348" t="s">
        <v>79</v>
      </c>
      <c r="AK348" t="s">
        <v>70</v>
      </c>
    </row>
    <row r="349" spans="1:37" x14ac:dyDescent="0.2">
      <c r="A349">
        <v>47</v>
      </c>
      <c r="B349" t="s">
        <v>43</v>
      </c>
      <c r="C349" t="s">
        <v>71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72</v>
      </c>
      <c r="AJ349" t="s">
        <v>74</v>
      </c>
      <c r="AK349" t="s">
        <v>75</v>
      </c>
    </row>
    <row r="350" spans="1:37" x14ac:dyDescent="0.2">
      <c r="A350">
        <v>42</v>
      </c>
      <c r="B350" t="s">
        <v>43</v>
      </c>
      <c r="C350" t="s">
        <v>67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68</v>
      </c>
      <c r="AJ350" t="s">
        <v>81</v>
      </c>
      <c r="AK350" t="s">
        <v>75</v>
      </c>
    </row>
    <row r="351" spans="1:37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v>0</v>
      </c>
      <c r="AH351">
        <v>0</v>
      </c>
      <c r="AI351" t="s">
        <v>76</v>
      </c>
      <c r="AJ351" t="s">
        <v>69</v>
      </c>
      <c r="AK351" t="s">
        <v>77</v>
      </c>
    </row>
    <row r="352" spans="1:37" x14ac:dyDescent="0.2">
      <c r="A352">
        <v>42</v>
      </c>
      <c r="B352" t="s">
        <v>43</v>
      </c>
      <c r="C352" t="s">
        <v>67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v>0</v>
      </c>
      <c r="AH352">
        <v>1</v>
      </c>
      <c r="AI352" t="s">
        <v>68</v>
      </c>
      <c r="AJ352" t="s">
        <v>74</v>
      </c>
      <c r="AK352" t="s">
        <v>77</v>
      </c>
    </row>
    <row r="353" spans="1:37" x14ac:dyDescent="0.2">
      <c r="A353">
        <v>32</v>
      </c>
      <c r="B353" t="s">
        <v>43</v>
      </c>
      <c r="C353" t="s">
        <v>67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v>0</v>
      </c>
      <c r="AH353">
        <v>0</v>
      </c>
      <c r="AI353" t="s">
        <v>76</v>
      </c>
      <c r="AJ353" t="s">
        <v>74</v>
      </c>
      <c r="AK353" t="s">
        <v>70</v>
      </c>
    </row>
    <row r="354" spans="1:37" x14ac:dyDescent="0.2">
      <c r="A354">
        <v>48</v>
      </c>
      <c r="B354" t="s">
        <v>43</v>
      </c>
      <c r="C354" t="s">
        <v>67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72</v>
      </c>
      <c r="AJ354" t="s">
        <v>81</v>
      </c>
      <c r="AK354" t="s">
        <v>75</v>
      </c>
    </row>
    <row r="355" spans="1:37" x14ac:dyDescent="0.2">
      <c r="A355">
        <v>37</v>
      </c>
      <c r="B355" t="s">
        <v>43</v>
      </c>
      <c r="C355" t="s">
        <v>67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v>0</v>
      </c>
      <c r="AH355">
        <v>1</v>
      </c>
      <c r="AI355" t="s">
        <v>68</v>
      </c>
      <c r="AJ355" t="s">
        <v>69</v>
      </c>
      <c r="AK355" t="s">
        <v>70</v>
      </c>
    </row>
    <row r="356" spans="1:37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v>0</v>
      </c>
      <c r="AH356">
        <v>1</v>
      </c>
      <c r="AI356" t="s">
        <v>76</v>
      </c>
      <c r="AJ356" t="s">
        <v>69</v>
      </c>
      <c r="AK356" t="s">
        <v>77</v>
      </c>
    </row>
    <row r="357" spans="1:37" x14ac:dyDescent="0.2">
      <c r="A357">
        <v>26</v>
      </c>
      <c r="B357" t="s">
        <v>43</v>
      </c>
      <c r="C357" t="s">
        <v>67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v>0</v>
      </c>
      <c r="AH357">
        <v>0</v>
      </c>
      <c r="AI357" t="s">
        <v>76</v>
      </c>
      <c r="AJ357" t="s">
        <v>69</v>
      </c>
      <c r="AK357" t="s">
        <v>70</v>
      </c>
    </row>
    <row r="358" spans="1:37" x14ac:dyDescent="0.2">
      <c r="A358">
        <v>42</v>
      </c>
      <c r="B358" t="s">
        <v>43</v>
      </c>
      <c r="C358" t="s">
        <v>67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68</v>
      </c>
      <c r="AJ358" t="s">
        <v>79</v>
      </c>
      <c r="AK358" t="s">
        <v>75</v>
      </c>
    </row>
    <row r="359" spans="1:37" x14ac:dyDescent="0.2">
      <c r="A359">
        <v>21</v>
      </c>
      <c r="B359" t="s">
        <v>35</v>
      </c>
      <c r="C359" t="s">
        <v>71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v>1</v>
      </c>
      <c r="AH359">
        <v>1</v>
      </c>
      <c r="AI359" t="s">
        <v>80</v>
      </c>
      <c r="AJ359" t="s">
        <v>74</v>
      </c>
      <c r="AK359" t="s">
        <v>77</v>
      </c>
    </row>
    <row r="360" spans="1:37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68</v>
      </c>
      <c r="AJ360" t="s">
        <v>79</v>
      </c>
      <c r="AK360" t="s">
        <v>75</v>
      </c>
    </row>
    <row r="361" spans="1:37" x14ac:dyDescent="0.2">
      <c r="A361">
        <v>36</v>
      </c>
      <c r="B361" t="s">
        <v>43</v>
      </c>
      <c r="C361" t="s">
        <v>71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v>0</v>
      </c>
      <c r="AH361">
        <v>0</v>
      </c>
      <c r="AI361" t="s">
        <v>68</v>
      </c>
      <c r="AJ361" t="s">
        <v>79</v>
      </c>
      <c r="AK361" t="s">
        <v>73</v>
      </c>
    </row>
    <row r="362" spans="1:37" x14ac:dyDescent="0.2">
      <c r="A362">
        <v>57</v>
      </c>
      <c r="B362" t="s">
        <v>43</v>
      </c>
      <c r="C362" t="s">
        <v>67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v>0</v>
      </c>
      <c r="AH362">
        <v>0</v>
      </c>
      <c r="AI362" t="s">
        <v>78</v>
      </c>
      <c r="AJ362" t="s">
        <v>79</v>
      </c>
      <c r="AK362" t="s">
        <v>77</v>
      </c>
    </row>
    <row r="363" spans="1:37" x14ac:dyDescent="0.2">
      <c r="A363">
        <v>40</v>
      </c>
      <c r="B363" t="s">
        <v>43</v>
      </c>
      <c r="C363" t="s">
        <v>67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v>0</v>
      </c>
      <c r="AH363">
        <v>1</v>
      </c>
      <c r="AI363" t="s">
        <v>68</v>
      </c>
      <c r="AJ363" t="s">
        <v>74</v>
      </c>
      <c r="AK363" t="s">
        <v>70</v>
      </c>
    </row>
    <row r="364" spans="1:37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v>0</v>
      </c>
      <c r="AH364">
        <v>0</v>
      </c>
      <c r="AI364" t="s">
        <v>80</v>
      </c>
      <c r="AJ364" t="s">
        <v>74</v>
      </c>
      <c r="AK364" t="s">
        <v>77</v>
      </c>
    </row>
    <row r="365" spans="1:37" x14ac:dyDescent="0.2">
      <c r="A365">
        <v>33</v>
      </c>
      <c r="B365" t="s">
        <v>35</v>
      </c>
      <c r="C365" t="s">
        <v>67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1</v>
      </c>
      <c r="AI365" t="s">
        <v>76</v>
      </c>
      <c r="AJ365" t="s">
        <v>74</v>
      </c>
      <c r="AK365" t="s">
        <v>75</v>
      </c>
    </row>
    <row r="366" spans="1:37" x14ac:dyDescent="0.2">
      <c r="A366">
        <v>37</v>
      </c>
      <c r="B366" t="s">
        <v>43</v>
      </c>
      <c r="C366" t="s">
        <v>67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v>0</v>
      </c>
      <c r="AH366">
        <v>0</v>
      </c>
      <c r="AI366" t="s">
        <v>68</v>
      </c>
      <c r="AJ366" t="s">
        <v>69</v>
      </c>
      <c r="AK366" t="s">
        <v>70</v>
      </c>
    </row>
    <row r="367" spans="1:37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72</v>
      </c>
      <c r="AJ367" t="s">
        <v>69</v>
      </c>
      <c r="AK367" t="s">
        <v>75</v>
      </c>
    </row>
    <row r="368" spans="1:37" x14ac:dyDescent="0.2">
      <c r="A368">
        <v>41</v>
      </c>
      <c r="B368" t="s">
        <v>35</v>
      </c>
      <c r="C368" t="s">
        <v>71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v>1</v>
      </c>
      <c r="AH368">
        <v>0</v>
      </c>
      <c r="AI368" t="s">
        <v>68</v>
      </c>
      <c r="AJ368" t="s">
        <v>79</v>
      </c>
      <c r="AK368" t="s">
        <v>70</v>
      </c>
    </row>
    <row r="369" spans="1:37" x14ac:dyDescent="0.2">
      <c r="A369">
        <v>50</v>
      </c>
      <c r="B369" t="s">
        <v>43</v>
      </c>
      <c r="C369" t="s">
        <v>67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v>0</v>
      </c>
      <c r="AH369">
        <v>0</v>
      </c>
      <c r="AI369" t="s">
        <v>72</v>
      </c>
      <c r="AJ369" t="s">
        <v>81</v>
      </c>
      <c r="AK369" t="s">
        <v>77</v>
      </c>
    </row>
    <row r="370" spans="1:37" x14ac:dyDescent="0.2">
      <c r="A370">
        <v>40</v>
      </c>
      <c r="B370" t="s">
        <v>35</v>
      </c>
      <c r="C370" t="s">
        <v>67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v>1</v>
      </c>
      <c r="AH370">
        <v>1</v>
      </c>
      <c r="AI370" t="s">
        <v>68</v>
      </c>
      <c r="AJ370" t="s">
        <v>79</v>
      </c>
      <c r="AK370" t="s">
        <v>70</v>
      </c>
    </row>
    <row r="371" spans="1:37" x14ac:dyDescent="0.2">
      <c r="A371">
        <v>31</v>
      </c>
      <c r="B371" t="s">
        <v>43</v>
      </c>
      <c r="C371" t="s">
        <v>67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v>0</v>
      </c>
      <c r="AH371">
        <v>1</v>
      </c>
      <c r="AI371" t="s">
        <v>76</v>
      </c>
      <c r="AJ371" t="s">
        <v>74</v>
      </c>
      <c r="AK371" t="s">
        <v>77</v>
      </c>
    </row>
    <row r="372" spans="1:37" x14ac:dyDescent="0.2">
      <c r="A372">
        <v>21</v>
      </c>
      <c r="B372" t="s">
        <v>35</v>
      </c>
      <c r="C372" t="s">
        <v>67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v>1</v>
      </c>
      <c r="AH372">
        <v>0</v>
      </c>
      <c r="AI372" t="s">
        <v>80</v>
      </c>
      <c r="AJ372" t="s">
        <v>74</v>
      </c>
      <c r="AK372" t="s">
        <v>75</v>
      </c>
    </row>
    <row r="373" spans="1:37" x14ac:dyDescent="0.2">
      <c r="A373">
        <v>29</v>
      </c>
      <c r="B373" t="s">
        <v>43</v>
      </c>
      <c r="C373" t="s">
        <v>67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v>0</v>
      </c>
      <c r="AH373">
        <v>0</v>
      </c>
      <c r="AI373" t="s">
        <v>76</v>
      </c>
      <c r="AJ373" t="s">
        <v>74</v>
      </c>
      <c r="AK373" t="s">
        <v>77</v>
      </c>
    </row>
    <row r="374" spans="1:37" x14ac:dyDescent="0.2">
      <c r="A374">
        <v>35</v>
      </c>
      <c r="B374" t="s">
        <v>43</v>
      </c>
      <c r="C374" t="s">
        <v>67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v>0</v>
      </c>
      <c r="AH374">
        <v>0</v>
      </c>
      <c r="AI374" t="s">
        <v>68</v>
      </c>
      <c r="AJ374" t="s">
        <v>79</v>
      </c>
      <c r="AK374" t="s">
        <v>75</v>
      </c>
    </row>
    <row r="375" spans="1:37" x14ac:dyDescent="0.2">
      <c r="A375">
        <v>27</v>
      </c>
      <c r="B375" t="s">
        <v>43</v>
      </c>
      <c r="C375" t="s">
        <v>67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v>0</v>
      </c>
      <c r="AH375">
        <v>0</v>
      </c>
      <c r="AI375" t="s">
        <v>76</v>
      </c>
      <c r="AJ375" t="s">
        <v>69</v>
      </c>
      <c r="AK375" t="s">
        <v>70</v>
      </c>
    </row>
    <row r="376" spans="1:37" x14ac:dyDescent="0.2">
      <c r="A376">
        <v>28</v>
      </c>
      <c r="B376" t="s">
        <v>43</v>
      </c>
      <c r="C376" t="s">
        <v>67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v>0</v>
      </c>
      <c r="AH376">
        <v>0</v>
      </c>
      <c r="AI376" t="s">
        <v>76</v>
      </c>
      <c r="AJ376" t="s">
        <v>69</v>
      </c>
      <c r="AK376" t="s">
        <v>70</v>
      </c>
    </row>
    <row r="377" spans="1:37" x14ac:dyDescent="0.2">
      <c r="A377">
        <v>49</v>
      </c>
      <c r="B377" t="s">
        <v>43</v>
      </c>
      <c r="C377" t="s">
        <v>67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v>0</v>
      </c>
      <c r="AH377">
        <v>0</v>
      </c>
      <c r="AI377" t="s">
        <v>72</v>
      </c>
      <c r="AJ377" t="s">
        <v>81</v>
      </c>
      <c r="AK377" t="s">
        <v>70</v>
      </c>
    </row>
    <row r="378" spans="1:37" x14ac:dyDescent="0.2">
      <c r="A378">
        <v>51</v>
      </c>
      <c r="B378" t="s">
        <v>43</v>
      </c>
      <c r="C378" t="s">
        <v>67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v>0</v>
      </c>
      <c r="AH378">
        <v>0</v>
      </c>
      <c r="AI378" t="s">
        <v>72</v>
      </c>
      <c r="AJ378" t="s">
        <v>69</v>
      </c>
      <c r="AK378" t="s">
        <v>70</v>
      </c>
    </row>
    <row r="379" spans="1:37" x14ac:dyDescent="0.2">
      <c r="A379">
        <v>36</v>
      </c>
      <c r="B379" t="s">
        <v>43</v>
      </c>
      <c r="C379" t="s">
        <v>67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v>0</v>
      </c>
      <c r="AH379">
        <v>0</v>
      </c>
      <c r="AI379" t="s">
        <v>68</v>
      </c>
      <c r="AJ379" t="s">
        <v>74</v>
      </c>
      <c r="AK379" t="s">
        <v>77</v>
      </c>
    </row>
    <row r="380" spans="1:37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v>1</v>
      </c>
      <c r="AH380">
        <v>1</v>
      </c>
      <c r="AI380" t="s">
        <v>76</v>
      </c>
      <c r="AJ380" t="s">
        <v>69</v>
      </c>
      <c r="AK380" t="s">
        <v>70</v>
      </c>
    </row>
    <row r="381" spans="1:37" x14ac:dyDescent="0.2">
      <c r="A381">
        <v>55</v>
      </c>
      <c r="B381" t="s">
        <v>43</v>
      </c>
      <c r="C381" t="s">
        <v>67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v>0</v>
      </c>
      <c r="AH381">
        <v>1</v>
      </c>
      <c r="AI381" t="s">
        <v>78</v>
      </c>
      <c r="AJ381" t="s">
        <v>81</v>
      </c>
      <c r="AK381" t="s">
        <v>70</v>
      </c>
    </row>
    <row r="382" spans="1:37" x14ac:dyDescent="0.2">
      <c r="A382">
        <v>24</v>
      </c>
      <c r="B382" t="s">
        <v>43</v>
      </c>
      <c r="C382" t="s">
        <v>67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v>0</v>
      </c>
      <c r="AH382">
        <v>1</v>
      </c>
      <c r="AI382" t="s">
        <v>80</v>
      </c>
      <c r="AJ382" t="s">
        <v>69</v>
      </c>
      <c r="AK382" t="s">
        <v>70</v>
      </c>
    </row>
    <row r="383" spans="1:37" x14ac:dyDescent="0.2">
      <c r="A383">
        <v>30</v>
      </c>
      <c r="B383" t="s">
        <v>43</v>
      </c>
      <c r="C383" t="s">
        <v>67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76</v>
      </c>
      <c r="AJ383" t="s">
        <v>74</v>
      </c>
      <c r="AK383" t="s">
        <v>75</v>
      </c>
    </row>
    <row r="384" spans="1:37" x14ac:dyDescent="0.2">
      <c r="A384">
        <v>26</v>
      </c>
      <c r="B384" t="s">
        <v>35</v>
      </c>
      <c r="C384" t="s">
        <v>71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v>1</v>
      </c>
      <c r="AH384">
        <v>0</v>
      </c>
      <c r="AI384" t="s">
        <v>76</v>
      </c>
      <c r="AJ384" t="s">
        <v>69</v>
      </c>
      <c r="AK384" t="s">
        <v>70</v>
      </c>
    </row>
    <row r="385" spans="1:37" x14ac:dyDescent="0.2">
      <c r="A385">
        <v>22</v>
      </c>
      <c r="B385" t="s">
        <v>43</v>
      </c>
      <c r="C385" t="s">
        <v>67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v>0</v>
      </c>
      <c r="AH385">
        <v>0</v>
      </c>
      <c r="AI385" t="s">
        <v>80</v>
      </c>
      <c r="AJ385" t="s">
        <v>74</v>
      </c>
      <c r="AK385" t="s">
        <v>77</v>
      </c>
    </row>
    <row r="386" spans="1:37" x14ac:dyDescent="0.2">
      <c r="A386">
        <v>36</v>
      </c>
      <c r="B386" t="s">
        <v>43</v>
      </c>
      <c r="C386" t="s">
        <v>67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v>0</v>
      </c>
      <c r="AH386">
        <v>0</v>
      </c>
      <c r="AI386" t="s">
        <v>68</v>
      </c>
      <c r="AJ386" t="s">
        <v>79</v>
      </c>
      <c r="AK386" t="s">
        <v>73</v>
      </c>
    </row>
    <row r="387" spans="1:37" x14ac:dyDescent="0.2">
      <c r="A387">
        <v>30</v>
      </c>
      <c r="B387" t="s">
        <v>35</v>
      </c>
      <c r="C387" t="s">
        <v>71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v>1</v>
      </c>
      <c r="AH387">
        <v>1</v>
      </c>
      <c r="AI387" t="s">
        <v>76</v>
      </c>
      <c r="AJ387" t="s">
        <v>74</v>
      </c>
      <c r="AK387" t="s">
        <v>75</v>
      </c>
    </row>
    <row r="388" spans="1:37" x14ac:dyDescent="0.2">
      <c r="A388">
        <v>37</v>
      </c>
      <c r="B388" t="s">
        <v>43</v>
      </c>
      <c r="C388" t="s">
        <v>67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v>0</v>
      </c>
      <c r="AH388">
        <v>0</v>
      </c>
      <c r="AI388" t="s">
        <v>68</v>
      </c>
      <c r="AJ388" t="s">
        <v>69</v>
      </c>
      <c r="AK388" t="s">
        <v>73</v>
      </c>
    </row>
    <row r="389" spans="1:37" x14ac:dyDescent="0.2">
      <c r="A389">
        <v>40</v>
      </c>
      <c r="B389" t="s">
        <v>43</v>
      </c>
      <c r="C389" t="s">
        <v>67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v>0</v>
      </c>
      <c r="AH389">
        <v>0</v>
      </c>
      <c r="AI389" t="s">
        <v>68</v>
      </c>
      <c r="AJ389" t="s">
        <v>69</v>
      </c>
      <c r="AK389" t="s">
        <v>70</v>
      </c>
    </row>
    <row r="390" spans="1:37" x14ac:dyDescent="0.2">
      <c r="A390">
        <v>42</v>
      </c>
      <c r="B390" t="s">
        <v>43</v>
      </c>
      <c r="C390" t="s">
        <v>67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v>0</v>
      </c>
      <c r="AH390">
        <v>0</v>
      </c>
      <c r="AI390" t="s">
        <v>68</v>
      </c>
      <c r="AJ390" t="s">
        <v>74</v>
      </c>
      <c r="AK390" t="s">
        <v>70</v>
      </c>
    </row>
    <row r="391" spans="1:37" x14ac:dyDescent="0.2">
      <c r="A391">
        <v>37</v>
      </c>
      <c r="B391" t="s">
        <v>43</v>
      </c>
      <c r="C391" t="s">
        <v>67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1</v>
      </c>
      <c r="AI391" t="s">
        <v>68</v>
      </c>
      <c r="AJ391" t="s">
        <v>69</v>
      </c>
      <c r="AK391" t="s">
        <v>75</v>
      </c>
    </row>
    <row r="392" spans="1:37" x14ac:dyDescent="0.2">
      <c r="A392">
        <v>43</v>
      </c>
      <c r="B392" t="s">
        <v>43</v>
      </c>
      <c r="C392" t="s">
        <v>67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v>0</v>
      </c>
      <c r="AH392">
        <v>0</v>
      </c>
      <c r="AI392" t="s">
        <v>68</v>
      </c>
      <c r="AJ392" t="s">
        <v>81</v>
      </c>
      <c r="AK392" t="s">
        <v>73</v>
      </c>
    </row>
    <row r="393" spans="1:37" x14ac:dyDescent="0.2">
      <c r="A393">
        <v>40</v>
      </c>
      <c r="B393" t="s">
        <v>43</v>
      </c>
      <c r="C393" t="s">
        <v>67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68</v>
      </c>
      <c r="AJ393" t="s">
        <v>69</v>
      </c>
      <c r="AK393" t="s">
        <v>75</v>
      </c>
    </row>
    <row r="394" spans="1:37" x14ac:dyDescent="0.2">
      <c r="A394">
        <v>54</v>
      </c>
      <c r="B394" t="s">
        <v>43</v>
      </c>
      <c r="C394" t="s">
        <v>67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v>0</v>
      </c>
      <c r="AH394">
        <v>0</v>
      </c>
      <c r="AI394" t="s">
        <v>72</v>
      </c>
      <c r="AJ394" t="s">
        <v>81</v>
      </c>
      <c r="AK394" t="s">
        <v>77</v>
      </c>
    </row>
    <row r="395" spans="1:37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v>0</v>
      </c>
      <c r="AH395">
        <v>0</v>
      </c>
      <c r="AI395" t="s">
        <v>76</v>
      </c>
      <c r="AJ395" t="s">
        <v>79</v>
      </c>
      <c r="AK395" t="s">
        <v>77</v>
      </c>
    </row>
    <row r="396" spans="1:37" x14ac:dyDescent="0.2">
      <c r="A396">
        <v>31</v>
      </c>
      <c r="B396" t="s">
        <v>43</v>
      </c>
      <c r="C396" t="s">
        <v>67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v>0</v>
      </c>
      <c r="AH396">
        <v>0</v>
      </c>
      <c r="AI396" t="s">
        <v>76</v>
      </c>
      <c r="AJ396" t="s">
        <v>69</v>
      </c>
      <c r="AK396" t="s">
        <v>73</v>
      </c>
    </row>
    <row r="397" spans="1:37" x14ac:dyDescent="0.2">
      <c r="A397">
        <v>43</v>
      </c>
      <c r="B397" t="s">
        <v>43</v>
      </c>
      <c r="C397" t="s">
        <v>71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v>0</v>
      </c>
      <c r="AH397">
        <v>0</v>
      </c>
      <c r="AI397" t="s">
        <v>68</v>
      </c>
      <c r="AJ397" t="s">
        <v>74</v>
      </c>
      <c r="AK397" t="s">
        <v>77</v>
      </c>
    </row>
    <row r="398" spans="1:37" x14ac:dyDescent="0.2">
      <c r="A398">
        <v>43</v>
      </c>
      <c r="B398" t="s">
        <v>43</v>
      </c>
      <c r="C398" t="s">
        <v>67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v>0</v>
      </c>
      <c r="AH398">
        <v>1</v>
      </c>
      <c r="AI398" t="s">
        <v>68</v>
      </c>
      <c r="AJ398" t="s">
        <v>69</v>
      </c>
      <c r="AK398" t="s">
        <v>70</v>
      </c>
    </row>
    <row r="399" spans="1:37" x14ac:dyDescent="0.2">
      <c r="A399">
        <v>25</v>
      </c>
      <c r="B399" t="s">
        <v>43</v>
      </c>
      <c r="C399" t="s">
        <v>67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v>0</v>
      </c>
      <c r="AH399">
        <v>1</v>
      </c>
      <c r="AI399" t="s">
        <v>76</v>
      </c>
      <c r="AJ399" t="s">
        <v>69</v>
      </c>
      <c r="AK399" t="s">
        <v>70</v>
      </c>
    </row>
    <row r="400" spans="1:37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v>0</v>
      </c>
      <c r="AH400">
        <v>1</v>
      </c>
      <c r="AI400" t="s">
        <v>68</v>
      </c>
      <c r="AJ400" t="s">
        <v>69</v>
      </c>
      <c r="AK400" t="s">
        <v>73</v>
      </c>
    </row>
    <row r="401" spans="1:37" x14ac:dyDescent="0.2">
      <c r="A401">
        <v>31</v>
      </c>
      <c r="B401" t="s">
        <v>43</v>
      </c>
      <c r="C401" t="s">
        <v>67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v>0</v>
      </c>
      <c r="AH401">
        <v>0</v>
      </c>
      <c r="AI401" t="s">
        <v>76</v>
      </c>
      <c r="AJ401" t="s">
        <v>74</v>
      </c>
      <c r="AK401" t="s">
        <v>77</v>
      </c>
    </row>
    <row r="402" spans="1:37" x14ac:dyDescent="0.2">
      <c r="A402">
        <v>39</v>
      </c>
      <c r="B402" t="s">
        <v>43</v>
      </c>
      <c r="C402" t="s">
        <v>71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v>0</v>
      </c>
      <c r="AH402">
        <v>1</v>
      </c>
      <c r="AI402" t="s">
        <v>68</v>
      </c>
      <c r="AJ402" t="s">
        <v>81</v>
      </c>
      <c r="AK402" t="s">
        <v>73</v>
      </c>
    </row>
    <row r="403" spans="1:37" x14ac:dyDescent="0.2">
      <c r="A403">
        <v>56</v>
      </c>
      <c r="B403" t="s">
        <v>43</v>
      </c>
      <c r="C403" t="s">
        <v>71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v>0</v>
      </c>
      <c r="AH403">
        <v>0</v>
      </c>
      <c r="AI403" t="s">
        <v>78</v>
      </c>
      <c r="AJ403" t="s">
        <v>81</v>
      </c>
      <c r="AK403" t="s">
        <v>70</v>
      </c>
    </row>
    <row r="404" spans="1:37" x14ac:dyDescent="0.2">
      <c r="A404">
        <v>30</v>
      </c>
      <c r="B404" t="s">
        <v>43</v>
      </c>
      <c r="C404" t="s">
        <v>67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v>0</v>
      </c>
      <c r="AH404">
        <v>0</v>
      </c>
      <c r="AI404" t="s">
        <v>76</v>
      </c>
      <c r="AJ404" t="s">
        <v>79</v>
      </c>
      <c r="AK404" t="s">
        <v>70</v>
      </c>
    </row>
    <row r="405" spans="1:37" x14ac:dyDescent="0.2">
      <c r="A405">
        <v>41</v>
      </c>
      <c r="B405" t="s">
        <v>43</v>
      </c>
      <c r="C405" t="s">
        <v>67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v>0</v>
      </c>
      <c r="AH405">
        <v>0</v>
      </c>
      <c r="AI405" t="s">
        <v>68</v>
      </c>
      <c r="AJ405" t="s">
        <v>79</v>
      </c>
      <c r="AK405" t="s">
        <v>73</v>
      </c>
    </row>
    <row r="406" spans="1:37" x14ac:dyDescent="0.2">
      <c r="A406">
        <v>28</v>
      </c>
      <c r="B406" t="s">
        <v>43</v>
      </c>
      <c r="C406" t="s">
        <v>67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v>0</v>
      </c>
      <c r="AH406">
        <v>0</v>
      </c>
      <c r="AI406" t="s">
        <v>76</v>
      </c>
      <c r="AJ406" t="s">
        <v>69</v>
      </c>
      <c r="AK406" t="s">
        <v>73</v>
      </c>
    </row>
    <row r="407" spans="1:37" x14ac:dyDescent="0.2">
      <c r="A407">
        <v>25</v>
      </c>
      <c r="B407" t="s">
        <v>35</v>
      </c>
      <c r="C407" t="s">
        <v>67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v>1</v>
      </c>
      <c r="AH407">
        <v>0</v>
      </c>
      <c r="AI407" t="s">
        <v>76</v>
      </c>
      <c r="AJ407" t="s">
        <v>69</v>
      </c>
      <c r="AK407" t="s">
        <v>77</v>
      </c>
    </row>
    <row r="408" spans="1:37" x14ac:dyDescent="0.2">
      <c r="A408">
        <v>52</v>
      </c>
      <c r="B408" t="s">
        <v>43</v>
      </c>
      <c r="C408" t="s">
        <v>67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v>0</v>
      </c>
      <c r="AH408">
        <v>1</v>
      </c>
      <c r="AI408" t="s">
        <v>72</v>
      </c>
      <c r="AJ408" t="s">
        <v>79</v>
      </c>
      <c r="AK408" t="s">
        <v>70</v>
      </c>
    </row>
    <row r="409" spans="1:37" x14ac:dyDescent="0.2">
      <c r="A409">
        <v>45</v>
      </c>
      <c r="B409" t="s">
        <v>43</v>
      </c>
      <c r="C409" t="s">
        <v>67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v>0</v>
      </c>
      <c r="AH409">
        <v>0</v>
      </c>
      <c r="AI409" t="s">
        <v>72</v>
      </c>
      <c r="AJ409" t="s">
        <v>74</v>
      </c>
      <c r="AK409" t="s">
        <v>77</v>
      </c>
    </row>
    <row r="410" spans="1:37" x14ac:dyDescent="0.2">
      <c r="A410">
        <v>52</v>
      </c>
      <c r="B410" t="s">
        <v>43</v>
      </c>
      <c r="C410" t="s">
        <v>67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v>0</v>
      </c>
      <c r="AH410">
        <v>0</v>
      </c>
      <c r="AI410" t="s">
        <v>72</v>
      </c>
      <c r="AJ410" t="s">
        <v>81</v>
      </c>
      <c r="AK410" t="s">
        <v>70</v>
      </c>
    </row>
    <row r="411" spans="1:37" x14ac:dyDescent="0.2">
      <c r="A411">
        <v>42</v>
      </c>
      <c r="B411" t="s">
        <v>43</v>
      </c>
      <c r="C411" t="s">
        <v>71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v>0</v>
      </c>
      <c r="AH411">
        <v>0</v>
      </c>
      <c r="AI411" t="s">
        <v>68</v>
      </c>
      <c r="AJ411" t="s">
        <v>69</v>
      </c>
      <c r="AK411" t="s">
        <v>70</v>
      </c>
    </row>
    <row r="412" spans="1:37" x14ac:dyDescent="0.2">
      <c r="A412">
        <v>30</v>
      </c>
      <c r="B412" t="s">
        <v>43</v>
      </c>
      <c r="C412" t="s">
        <v>67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v>0</v>
      </c>
      <c r="AH412">
        <v>0</v>
      </c>
      <c r="AI412" t="s">
        <v>76</v>
      </c>
      <c r="AJ412" t="s">
        <v>79</v>
      </c>
      <c r="AK412" t="s">
        <v>70</v>
      </c>
    </row>
    <row r="413" spans="1:37" x14ac:dyDescent="0.2">
      <c r="A413">
        <v>60</v>
      </c>
      <c r="B413" t="s">
        <v>43</v>
      </c>
      <c r="C413" t="s">
        <v>67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v>0</v>
      </c>
      <c r="AH413">
        <v>0</v>
      </c>
      <c r="AI413" t="s">
        <v>78</v>
      </c>
      <c r="AJ413" t="s">
        <v>81</v>
      </c>
      <c r="AK413" t="s">
        <v>73</v>
      </c>
    </row>
    <row r="414" spans="1:37" x14ac:dyDescent="0.2">
      <c r="A414">
        <v>46</v>
      </c>
      <c r="B414" t="s">
        <v>43</v>
      </c>
      <c r="C414" t="s">
        <v>67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v>0</v>
      </c>
      <c r="AH414">
        <v>0</v>
      </c>
      <c r="AI414" t="s">
        <v>72</v>
      </c>
      <c r="AJ414" t="s">
        <v>69</v>
      </c>
      <c r="AK414" t="s">
        <v>73</v>
      </c>
    </row>
    <row r="415" spans="1:37" x14ac:dyDescent="0.2">
      <c r="A415">
        <v>42</v>
      </c>
      <c r="B415" t="s">
        <v>43</v>
      </c>
      <c r="C415" t="s">
        <v>71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v>0</v>
      </c>
      <c r="AH415">
        <v>0</v>
      </c>
      <c r="AI415" t="s">
        <v>68</v>
      </c>
      <c r="AJ415" t="s">
        <v>69</v>
      </c>
      <c r="AK415" t="s">
        <v>70</v>
      </c>
    </row>
    <row r="416" spans="1:37" x14ac:dyDescent="0.2">
      <c r="A416">
        <v>24</v>
      </c>
      <c r="B416" t="s">
        <v>35</v>
      </c>
      <c r="C416" t="s">
        <v>67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v>1</v>
      </c>
      <c r="AH416">
        <v>1</v>
      </c>
      <c r="AI416" t="s">
        <v>80</v>
      </c>
      <c r="AJ416" t="s">
        <v>69</v>
      </c>
      <c r="AK416" t="s">
        <v>70</v>
      </c>
    </row>
    <row r="417" spans="1:37" x14ac:dyDescent="0.2">
      <c r="A417">
        <v>34</v>
      </c>
      <c r="B417" t="s">
        <v>35</v>
      </c>
      <c r="C417" t="s">
        <v>71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v>1</v>
      </c>
      <c r="AH417">
        <v>0</v>
      </c>
      <c r="AI417" t="s">
        <v>76</v>
      </c>
      <c r="AJ417" t="s">
        <v>74</v>
      </c>
      <c r="AK417" t="s">
        <v>77</v>
      </c>
    </row>
    <row r="418" spans="1:37" x14ac:dyDescent="0.2">
      <c r="A418">
        <v>38</v>
      </c>
      <c r="B418" t="s">
        <v>43</v>
      </c>
      <c r="C418" t="s">
        <v>71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1</v>
      </c>
      <c r="AI418" t="s">
        <v>68</v>
      </c>
      <c r="AJ418" t="s">
        <v>74</v>
      </c>
      <c r="AK418" t="s">
        <v>75</v>
      </c>
    </row>
    <row r="419" spans="1:37" x14ac:dyDescent="0.2">
      <c r="A419">
        <v>40</v>
      </c>
      <c r="B419" t="s">
        <v>43</v>
      </c>
      <c r="C419" t="s">
        <v>67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v>0</v>
      </c>
      <c r="AH419">
        <v>0</v>
      </c>
      <c r="AI419" t="s">
        <v>68</v>
      </c>
      <c r="AJ419" t="s">
        <v>81</v>
      </c>
      <c r="AK419" t="s">
        <v>73</v>
      </c>
    </row>
    <row r="420" spans="1:37" x14ac:dyDescent="0.2">
      <c r="A420">
        <v>26</v>
      </c>
      <c r="B420" t="s">
        <v>43</v>
      </c>
      <c r="C420" t="s">
        <v>67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v>0</v>
      </c>
      <c r="AH420">
        <v>0</v>
      </c>
      <c r="AI420" t="s">
        <v>76</v>
      </c>
      <c r="AJ420" t="s">
        <v>74</v>
      </c>
      <c r="AK420" t="s">
        <v>77</v>
      </c>
    </row>
    <row r="421" spans="1:37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v>0</v>
      </c>
      <c r="AH421">
        <v>0</v>
      </c>
      <c r="AI421" t="s">
        <v>76</v>
      </c>
      <c r="AJ421" t="s">
        <v>74</v>
      </c>
      <c r="AK421" t="s">
        <v>70</v>
      </c>
    </row>
    <row r="422" spans="1:37" x14ac:dyDescent="0.2">
      <c r="A422">
        <v>29</v>
      </c>
      <c r="B422" t="s">
        <v>43</v>
      </c>
      <c r="C422" t="s">
        <v>67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v>0</v>
      </c>
      <c r="AH422">
        <v>0</v>
      </c>
      <c r="AI422" t="s">
        <v>76</v>
      </c>
      <c r="AJ422" t="s">
        <v>81</v>
      </c>
      <c r="AK422" t="s">
        <v>73</v>
      </c>
    </row>
    <row r="423" spans="1:37" x14ac:dyDescent="0.2">
      <c r="A423">
        <v>29</v>
      </c>
      <c r="B423" t="s">
        <v>35</v>
      </c>
      <c r="C423" t="s">
        <v>67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v>1</v>
      </c>
      <c r="AH423">
        <v>0</v>
      </c>
      <c r="AI423" t="s">
        <v>76</v>
      </c>
      <c r="AJ423" t="s">
        <v>74</v>
      </c>
      <c r="AK423" t="s">
        <v>77</v>
      </c>
    </row>
    <row r="424" spans="1:37" x14ac:dyDescent="0.2">
      <c r="A424">
        <v>19</v>
      </c>
      <c r="B424" t="s">
        <v>35</v>
      </c>
      <c r="C424" t="s">
        <v>67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v>1</v>
      </c>
      <c r="AH424">
        <v>0</v>
      </c>
      <c r="AI424" t="s">
        <v>80</v>
      </c>
      <c r="AJ424" t="s">
        <v>74</v>
      </c>
      <c r="AK424" t="s">
        <v>75</v>
      </c>
    </row>
    <row r="425" spans="1:37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v>0</v>
      </c>
      <c r="AH425">
        <v>0</v>
      </c>
      <c r="AI425" t="s">
        <v>76</v>
      </c>
      <c r="AJ425" t="s">
        <v>79</v>
      </c>
      <c r="AK425" t="s">
        <v>70</v>
      </c>
    </row>
    <row r="426" spans="1:37" x14ac:dyDescent="0.2">
      <c r="A426">
        <v>57</v>
      </c>
      <c r="B426" t="s">
        <v>43</v>
      </c>
      <c r="C426" t="s">
        <v>67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78</v>
      </c>
      <c r="AJ426" t="s">
        <v>81</v>
      </c>
      <c r="AK426" t="s">
        <v>75</v>
      </c>
    </row>
    <row r="427" spans="1:37" x14ac:dyDescent="0.2">
      <c r="A427">
        <v>50</v>
      </c>
      <c r="B427" t="s">
        <v>43</v>
      </c>
      <c r="C427" t="s">
        <v>67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v>0</v>
      </c>
      <c r="AH427">
        <v>0</v>
      </c>
      <c r="AI427" t="s">
        <v>72</v>
      </c>
      <c r="AJ427" t="s">
        <v>81</v>
      </c>
      <c r="AK427" t="s">
        <v>73</v>
      </c>
    </row>
    <row r="428" spans="1:37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v>0</v>
      </c>
      <c r="AH428">
        <v>0</v>
      </c>
      <c r="AI428" t="s">
        <v>76</v>
      </c>
      <c r="AJ428" t="s">
        <v>74</v>
      </c>
      <c r="AK428" t="s">
        <v>73</v>
      </c>
    </row>
    <row r="429" spans="1:37" x14ac:dyDescent="0.2">
      <c r="A429">
        <v>60</v>
      </c>
      <c r="B429" t="s">
        <v>43</v>
      </c>
      <c r="C429" t="s">
        <v>71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v>0</v>
      </c>
      <c r="AH429">
        <v>0</v>
      </c>
      <c r="AI429" t="s">
        <v>78</v>
      </c>
      <c r="AJ429" t="s">
        <v>81</v>
      </c>
      <c r="AK429" t="s">
        <v>73</v>
      </c>
    </row>
    <row r="430" spans="1:37" x14ac:dyDescent="0.2">
      <c r="A430">
        <v>47</v>
      </c>
      <c r="B430" t="s">
        <v>43</v>
      </c>
      <c r="C430" t="s">
        <v>67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v>0</v>
      </c>
      <c r="AH430">
        <v>0</v>
      </c>
      <c r="AI430" t="s">
        <v>72</v>
      </c>
      <c r="AJ430" t="s">
        <v>69</v>
      </c>
      <c r="AK430" t="s">
        <v>70</v>
      </c>
    </row>
    <row r="431" spans="1:37" x14ac:dyDescent="0.2">
      <c r="A431">
        <v>46</v>
      </c>
      <c r="B431" t="s">
        <v>43</v>
      </c>
      <c r="C431" t="s">
        <v>67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v>0</v>
      </c>
      <c r="AH431">
        <v>0</v>
      </c>
      <c r="AI431" t="s">
        <v>72</v>
      </c>
      <c r="AJ431" t="s">
        <v>81</v>
      </c>
      <c r="AK431" t="s">
        <v>77</v>
      </c>
    </row>
    <row r="432" spans="1:37" x14ac:dyDescent="0.2">
      <c r="A432">
        <v>35</v>
      </c>
      <c r="B432" t="s">
        <v>43</v>
      </c>
      <c r="C432" t="s">
        <v>67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v>0</v>
      </c>
      <c r="AH432">
        <v>0</v>
      </c>
      <c r="AI432" t="s">
        <v>68</v>
      </c>
      <c r="AJ432" t="s">
        <v>69</v>
      </c>
      <c r="AK432" t="s">
        <v>70</v>
      </c>
    </row>
    <row r="433" spans="1:37" x14ac:dyDescent="0.2">
      <c r="A433">
        <v>54</v>
      </c>
      <c r="B433" t="s">
        <v>43</v>
      </c>
      <c r="C433" t="s">
        <v>67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72</v>
      </c>
      <c r="AJ433" t="s">
        <v>69</v>
      </c>
      <c r="AK433" t="s">
        <v>75</v>
      </c>
    </row>
    <row r="434" spans="1:37" x14ac:dyDescent="0.2">
      <c r="A434">
        <v>34</v>
      </c>
      <c r="B434" t="s">
        <v>43</v>
      </c>
      <c r="C434" t="s">
        <v>67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v>0</v>
      </c>
      <c r="AH434">
        <v>0</v>
      </c>
      <c r="AI434" t="s">
        <v>76</v>
      </c>
      <c r="AJ434" t="s">
        <v>74</v>
      </c>
      <c r="AK434" t="s">
        <v>70</v>
      </c>
    </row>
    <row r="435" spans="1:37" x14ac:dyDescent="0.2">
      <c r="A435">
        <v>46</v>
      </c>
      <c r="B435" t="s">
        <v>43</v>
      </c>
      <c r="C435" t="s">
        <v>67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v>0</v>
      </c>
      <c r="AH435">
        <v>1</v>
      </c>
      <c r="AI435" t="s">
        <v>72</v>
      </c>
      <c r="AJ435" t="s">
        <v>79</v>
      </c>
      <c r="AK435" t="s">
        <v>77</v>
      </c>
    </row>
    <row r="436" spans="1:37" x14ac:dyDescent="0.2">
      <c r="A436">
        <v>31</v>
      </c>
      <c r="B436" t="s">
        <v>43</v>
      </c>
      <c r="C436" t="s">
        <v>67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v>0</v>
      </c>
      <c r="AH436">
        <v>0</v>
      </c>
      <c r="AI436" t="s">
        <v>76</v>
      </c>
      <c r="AJ436" t="s">
        <v>81</v>
      </c>
      <c r="AK436" t="s">
        <v>73</v>
      </c>
    </row>
    <row r="437" spans="1:37" x14ac:dyDescent="0.2">
      <c r="A437">
        <v>33</v>
      </c>
      <c r="B437" t="s">
        <v>35</v>
      </c>
      <c r="C437" t="s">
        <v>67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v>1</v>
      </c>
      <c r="AH437">
        <v>1</v>
      </c>
      <c r="AI437" t="s">
        <v>76</v>
      </c>
      <c r="AJ437" t="s">
        <v>81</v>
      </c>
      <c r="AK437" t="s">
        <v>70</v>
      </c>
    </row>
    <row r="438" spans="1:37" x14ac:dyDescent="0.2">
      <c r="A438">
        <v>33</v>
      </c>
      <c r="B438" t="s">
        <v>35</v>
      </c>
      <c r="C438" t="s">
        <v>67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v>1</v>
      </c>
      <c r="AH438">
        <v>0</v>
      </c>
      <c r="AI438" t="s">
        <v>76</v>
      </c>
      <c r="AJ438" t="s">
        <v>69</v>
      </c>
      <c r="AK438" t="s">
        <v>77</v>
      </c>
    </row>
    <row r="439" spans="1:37" x14ac:dyDescent="0.2">
      <c r="A439">
        <v>30</v>
      </c>
      <c r="B439" t="s">
        <v>43</v>
      </c>
      <c r="C439" t="s">
        <v>67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v>0</v>
      </c>
      <c r="AH439">
        <v>0</v>
      </c>
      <c r="AI439" t="s">
        <v>76</v>
      </c>
      <c r="AJ439" t="s">
        <v>74</v>
      </c>
      <c r="AK439" t="s">
        <v>77</v>
      </c>
    </row>
    <row r="440" spans="1:37" x14ac:dyDescent="0.2">
      <c r="A440">
        <v>35</v>
      </c>
      <c r="B440" t="s">
        <v>43</v>
      </c>
      <c r="C440" t="s">
        <v>67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v>0</v>
      </c>
      <c r="AH440">
        <v>1</v>
      </c>
      <c r="AI440" t="s">
        <v>68</v>
      </c>
      <c r="AJ440" t="s">
        <v>79</v>
      </c>
      <c r="AK440" t="s">
        <v>70</v>
      </c>
    </row>
    <row r="441" spans="1:37" x14ac:dyDescent="0.2">
      <c r="A441">
        <v>31</v>
      </c>
      <c r="B441" t="s">
        <v>35</v>
      </c>
      <c r="C441" t="s">
        <v>71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 t="s">
        <v>76</v>
      </c>
      <c r="AJ441" t="s">
        <v>79</v>
      </c>
      <c r="AK441" t="s">
        <v>75</v>
      </c>
    </row>
    <row r="442" spans="1:37" x14ac:dyDescent="0.2">
      <c r="A442">
        <v>34</v>
      </c>
      <c r="B442" t="s">
        <v>35</v>
      </c>
      <c r="C442" t="s">
        <v>71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v>1</v>
      </c>
      <c r="AH442">
        <v>1</v>
      </c>
      <c r="AI442" t="s">
        <v>76</v>
      </c>
      <c r="AJ442" t="s">
        <v>79</v>
      </c>
      <c r="AK442" t="s">
        <v>77</v>
      </c>
    </row>
    <row r="443" spans="1:37" x14ac:dyDescent="0.2">
      <c r="A443">
        <v>42</v>
      </c>
      <c r="B443" t="s">
        <v>43</v>
      </c>
      <c r="C443" t="s">
        <v>71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v>0</v>
      </c>
      <c r="AH443">
        <v>0</v>
      </c>
      <c r="AI443" t="s">
        <v>68</v>
      </c>
      <c r="AJ443" t="s">
        <v>74</v>
      </c>
      <c r="AK443" t="s">
        <v>77</v>
      </c>
    </row>
    <row r="444" spans="1:37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v>0</v>
      </c>
      <c r="AH444">
        <v>0</v>
      </c>
      <c r="AI444" t="s">
        <v>68</v>
      </c>
      <c r="AJ444" t="s">
        <v>79</v>
      </c>
      <c r="AK444" t="s">
        <v>73</v>
      </c>
    </row>
    <row r="445" spans="1:37" x14ac:dyDescent="0.2">
      <c r="A445">
        <v>22</v>
      </c>
      <c r="B445" t="s">
        <v>35</v>
      </c>
      <c r="C445" t="s">
        <v>71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v>1</v>
      </c>
      <c r="AH445">
        <v>0</v>
      </c>
      <c r="AI445" t="s">
        <v>80</v>
      </c>
      <c r="AJ445" t="s">
        <v>69</v>
      </c>
      <c r="AK445" t="s">
        <v>77</v>
      </c>
    </row>
    <row r="446" spans="1:37" x14ac:dyDescent="0.2">
      <c r="A446">
        <v>48</v>
      </c>
      <c r="B446" t="s">
        <v>43</v>
      </c>
      <c r="C446" t="s">
        <v>67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v>0</v>
      </c>
      <c r="AH446">
        <v>0</v>
      </c>
      <c r="AI446" t="s">
        <v>72</v>
      </c>
      <c r="AJ446" t="s">
        <v>69</v>
      </c>
      <c r="AK446" t="s">
        <v>70</v>
      </c>
    </row>
    <row r="447" spans="1:37" x14ac:dyDescent="0.2">
      <c r="A447">
        <v>55</v>
      </c>
      <c r="B447" t="s">
        <v>43</v>
      </c>
      <c r="C447" t="s">
        <v>67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v>0</v>
      </c>
      <c r="AH447">
        <v>0</v>
      </c>
      <c r="AI447" t="s">
        <v>78</v>
      </c>
      <c r="AJ447" t="s">
        <v>81</v>
      </c>
      <c r="AK447" t="s">
        <v>73</v>
      </c>
    </row>
    <row r="448" spans="1:37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v>0</v>
      </c>
      <c r="AH448">
        <v>0</v>
      </c>
      <c r="AI448" t="s">
        <v>68</v>
      </c>
      <c r="AJ448" t="s">
        <v>79</v>
      </c>
      <c r="AK448" t="s">
        <v>73</v>
      </c>
    </row>
    <row r="449" spans="1:37" x14ac:dyDescent="0.2">
      <c r="A449">
        <v>35</v>
      </c>
      <c r="B449" t="s">
        <v>43</v>
      </c>
      <c r="C449" t="s">
        <v>67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v>0</v>
      </c>
      <c r="AH449">
        <v>0</v>
      </c>
      <c r="AI449" t="s">
        <v>68</v>
      </c>
      <c r="AJ449" t="s">
        <v>69</v>
      </c>
      <c r="AK449" t="s">
        <v>73</v>
      </c>
    </row>
    <row r="450" spans="1:37" x14ac:dyDescent="0.2">
      <c r="A450">
        <v>40</v>
      </c>
      <c r="B450" t="s">
        <v>43</v>
      </c>
      <c r="C450" t="s">
        <v>67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v>0</v>
      </c>
      <c r="AH450">
        <v>0</v>
      </c>
      <c r="AI450" t="s">
        <v>68</v>
      </c>
      <c r="AJ450" t="s">
        <v>81</v>
      </c>
      <c r="AK450" t="s">
        <v>73</v>
      </c>
    </row>
    <row r="451" spans="1:37" x14ac:dyDescent="0.2">
      <c r="A451">
        <v>39</v>
      </c>
      <c r="B451" t="s">
        <v>43</v>
      </c>
      <c r="C451" t="s">
        <v>71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v>0</v>
      </c>
      <c r="AH451">
        <v>0</v>
      </c>
      <c r="AI451" t="s">
        <v>68</v>
      </c>
      <c r="AJ451" t="s">
        <v>69</v>
      </c>
      <c r="AK451" t="s">
        <v>70</v>
      </c>
    </row>
    <row r="452" spans="1:37" x14ac:dyDescent="0.2">
      <c r="A452">
        <v>31</v>
      </c>
      <c r="B452" t="s">
        <v>43</v>
      </c>
      <c r="C452" t="s">
        <v>67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v>0</v>
      </c>
      <c r="AH452">
        <v>1</v>
      </c>
      <c r="AI452" t="s">
        <v>76</v>
      </c>
      <c r="AJ452" t="s">
        <v>79</v>
      </c>
      <c r="AK452" t="s">
        <v>70</v>
      </c>
    </row>
    <row r="453" spans="1:37" x14ac:dyDescent="0.2">
      <c r="A453">
        <v>42</v>
      </c>
      <c r="B453" t="s">
        <v>43</v>
      </c>
      <c r="C453" t="s">
        <v>67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v>0</v>
      </c>
      <c r="AH453">
        <v>1</v>
      </c>
      <c r="AI453" t="s">
        <v>68</v>
      </c>
      <c r="AJ453" t="s">
        <v>79</v>
      </c>
      <c r="AK453" t="s">
        <v>73</v>
      </c>
    </row>
    <row r="454" spans="1:37" x14ac:dyDescent="0.2">
      <c r="A454">
        <v>45</v>
      </c>
      <c r="B454" t="s">
        <v>43</v>
      </c>
      <c r="C454" t="s">
        <v>67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v>0</v>
      </c>
      <c r="AH454">
        <v>0</v>
      </c>
      <c r="AI454" t="s">
        <v>72</v>
      </c>
      <c r="AJ454" t="s">
        <v>69</v>
      </c>
      <c r="AK454" t="s">
        <v>70</v>
      </c>
    </row>
    <row r="455" spans="1:37" x14ac:dyDescent="0.2">
      <c r="A455">
        <v>26</v>
      </c>
      <c r="B455" t="s">
        <v>35</v>
      </c>
      <c r="C455" t="s">
        <v>71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v>1</v>
      </c>
      <c r="AH455">
        <v>1</v>
      </c>
      <c r="AI455" t="s">
        <v>76</v>
      </c>
      <c r="AJ455" t="s">
        <v>74</v>
      </c>
      <c r="AK455" t="s">
        <v>70</v>
      </c>
    </row>
    <row r="456" spans="1:37" x14ac:dyDescent="0.2">
      <c r="A456">
        <v>29</v>
      </c>
      <c r="B456" t="s">
        <v>43</v>
      </c>
      <c r="C456" t="s">
        <v>67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v>0</v>
      </c>
      <c r="AH456">
        <v>0</v>
      </c>
      <c r="AI456" t="s">
        <v>76</v>
      </c>
      <c r="AJ456" t="s">
        <v>69</v>
      </c>
      <c r="AK456" t="s">
        <v>77</v>
      </c>
    </row>
    <row r="457" spans="1:37" x14ac:dyDescent="0.2">
      <c r="A457">
        <v>33</v>
      </c>
      <c r="B457" t="s">
        <v>43</v>
      </c>
      <c r="C457" t="s">
        <v>67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v>0</v>
      </c>
      <c r="AH457">
        <v>0</v>
      </c>
      <c r="AI457" t="s">
        <v>76</v>
      </c>
      <c r="AJ457" t="s">
        <v>81</v>
      </c>
      <c r="AK457" t="s">
        <v>70</v>
      </c>
    </row>
    <row r="458" spans="1:37" x14ac:dyDescent="0.2">
      <c r="A458">
        <v>31</v>
      </c>
      <c r="B458" t="s">
        <v>43</v>
      </c>
      <c r="C458" t="s">
        <v>67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v>0</v>
      </c>
      <c r="AH458">
        <v>0</v>
      </c>
      <c r="AI458" t="s">
        <v>76</v>
      </c>
      <c r="AJ458" t="s">
        <v>81</v>
      </c>
      <c r="AK458" t="s">
        <v>70</v>
      </c>
    </row>
    <row r="459" spans="1:37" x14ac:dyDescent="0.2">
      <c r="A459">
        <v>18</v>
      </c>
      <c r="B459" t="s">
        <v>35</v>
      </c>
      <c r="C459" t="s">
        <v>71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</v>
      </c>
      <c r="AI459" t="s">
        <v>80</v>
      </c>
      <c r="AJ459" t="s">
        <v>74</v>
      </c>
      <c r="AK459" t="s">
        <v>75</v>
      </c>
    </row>
    <row r="460" spans="1:37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0</v>
      </c>
      <c r="AI460" t="s">
        <v>68</v>
      </c>
      <c r="AJ460" t="s">
        <v>81</v>
      </c>
      <c r="AK460" t="s">
        <v>75</v>
      </c>
    </row>
    <row r="461" spans="1:37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v>0</v>
      </c>
      <c r="AH461">
        <v>1</v>
      </c>
      <c r="AI461" t="s">
        <v>68</v>
      </c>
      <c r="AJ461" t="s">
        <v>79</v>
      </c>
      <c r="AK461" t="s">
        <v>70</v>
      </c>
    </row>
    <row r="462" spans="1:37" x14ac:dyDescent="0.2">
      <c r="A462">
        <v>26</v>
      </c>
      <c r="B462" t="s">
        <v>43</v>
      </c>
      <c r="C462" t="s">
        <v>67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76</v>
      </c>
      <c r="AJ462" t="s">
        <v>69</v>
      </c>
      <c r="AK462" t="s">
        <v>75</v>
      </c>
    </row>
    <row r="463" spans="1:37" x14ac:dyDescent="0.2">
      <c r="A463">
        <v>35</v>
      </c>
      <c r="B463" t="s">
        <v>43</v>
      </c>
      <c r="C463" t="s">
        <v>67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v>0</v>
      </c>
      <c r="AH463">
        <v>0</v>
      </c>
      <c r="AI463" t="s">
        <v>68</v>
      </c>
      <c r="AJ463" t="s">
        <v>69</v>
      </c>
      <c r="AK463" t="s">
        <v>70</v>
      </c>
    </row>
    <row r="464" spans="1:37" x14ac:dyDescent="0.2">
      <c r="A464">
        <v>34</v>
      </c>
      <c r="B464" t="s">
        <v>43</v>
      </c>
      <c r="C464" t="s">
        <v>67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v>0</v>
      </c>
      <c r="AH464">
        <v>0</v>
      </c>
      <c r="AI464" t="s">
        <v>76</v>
      </c>
      <c r="AJ464" t="s">
        <v>69</v>
      </c>
      <c r="AK464" t="s">
        <v>73</v>
      </c>
    </row>
    <row r="465" spans="1:37" x14ac:dyDescent="0.2">
      <c r="A465">
        <v>26</v>
      </c>
      <c r="B465" t="s">
        <v>35</v>
      </c>
      <c r="C465" t="s">
        <v>67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1</v>
      </c>
      <c r="AH465">
        <v>1</v>
      </c>
      <c r="AI465" t="s">
        <v>76</v>
      </c>
      <c r="AJ465" t="s">
        <v>74</v>
      </c>
      <c r="AK465" t="s">
        <v>75</v>
      </c>
    </row>
    <row r="466" spans="1:37" x14ac:dyDescent="0.2">
      <c r="A466">
        <v>37</v>
      </c>
      <c r="B466" t="s">
        <v>43</v>
      </c>
      <c r="C466" t="s">
        <v>67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v>0</v>
      </c>
      <c r="AH466">
        <v>0</v>
      </c>
      <c r="AI466" t="s">
        <v>68</v>
      </c>
      <c r="AJ466" t="s">
        <v>79</v>
      </c>
      <c r="AK466" t="s">
        <v>70</v>
      </c>
    </row>
    <row r="467" spans="1:37" x14ac:dyDescent="0.2">
      <c r="A467">
        <v>46</v>
      </c>
      <c r="B467" t="s">
        <v>43</v>
      </c>
      <c r="C467" t="s">
        <v>71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v>0</v>
      </c>
      <c r="AH467">
        <v>0</v>
      </c>
      <c r="AI467" t="s">
        <v>72</v>
      </c>
      <c r="AJ467" t="s">
        <v>81</v>
      </c>
      <c r="AK467" t="s">
        <v>77</v>
      </c>
    </row>
    <row r="468" spans="1:37" x14ac:dyDescent="0.2">
      <c r="A468">
        <v>41</v>
      </c>
      <c r="B468" t="s">
        <v>43</v>
      </c>
      <c r="C468" t="s">
        <v>67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v>0</v>
      </c>
      <c r="AH468">
        <v>0</v>
      </c>
      <c r="AI468" t="s">
        <v>68</v>
      </c>
      <c r="AJ468" t="s">
        <v>81</v>
      </c>
      <c r="AK468" t="s">
        <v>73</v>
      </c>
    </row>
    <row r="469" spans="1:37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v>0</v>
      </c>
      <c r="AH469">
        <v>0</v>
      </c>
      <c r="AI469" t="s">
        <v>68</v>
      </c>
      <c r="AJ469" t="s">
        <v>79</v>
      </c>
      <c r="AK469" t="s">
        <v>70</v>
      </c>
    </row>
    <row r="470" spans="1:37" x14ac:dyDescent="0.2">
      <c r="A470">
        <v>52</v>
      </c>
      <c r="B470" t="s">
        <v>43</v>
      </c>
      <c r="C470" t="s">
        <v>67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v>0</v>
      </c>
      <c r="AH470">
        <v>1</v>
      </c>
      <c r="AI470" t="s">
        <v>72</v>
      </c>
      <c r="AJ470" t="s">
        <v>69</v>
      </c>
      <c r="AK470" t="s">
        <v>73</v>
      </c>
    </row>
    <row r="471" spans="1:37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v>1</v>
      </c>
      <c r="AH471">
        <v>0</v>
      </c>
      <c r="AI471" t="s">
        <v>76</v>
      </c>
      <c r="AJ471" t="s">
        <v>69</v>
      </c>
      <c r="AK471" t="s">
        <v>77</v>
      </c>
    </row>
    <row r="472" spans="1:37" x14ac:dyDescent="0.2">
      <c r="A472">
        <v>24</v>
      </c>
      <c r="B472" t="s">
        <v>43</v>
      </c>
      <c r="C472" t="s">
        <v>71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v>0</v>
      </c>
      <c r="AH472">
        <v>0</v>
      </c>
      <c r="AI472" t="s">
        <v>80</v>
      </c>
      <c r="AJ472" t="s">
        <v>74</v>
      </c>
      <c r="AK472" t="s">
        <v>77</v>
      </c>
    </row>
    <row r="473" spans="1:37" x14ac:dyDescent="0.2">
      <c r="A473">
        <v>38</v>
      </c>
      <c r="B473" t="s">
        <v>43</v>
      </c>
      <c r="C473" t="s">
        <v>67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68</v>
      </c>
      <c r="AJ473" t="s">
        <v>79</v>
      </c>
      <c r="AK473" t="s">
        <v>75</v>
      </c>
    </row>
    <row r="474" spans="1:37" x14ac:dyDescent="0.2">
      <c r="A474">
        <v>37</v>
      </c>
      <c r="B474" t="s">
        <v>43</v>
      </c>
      <c r="C474" t="s">
        <v>67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v>0</v>
      </c>
      <c r="AH474">
        <v>0</v>
      </c>
      <c r="AI474" t="s">
        <v>68</v>
      </c>
      <c r="AJ474" t="s">
        <v>79</v>
      </c>
      <c r="AK474" t="s">
        <v>70</v>
      </c>
    </row>
    <row r="475" spans="1:37" x14ac:dyDescent="0.2">
      <c r="A475">
        <v>49</v>
      </c>
      <c r="B475" t="s">
        <v>43</v>
      </c>
      <c r="C475" t="s">
        <v>67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v>0</v>
      </c>
      <c r="AH475">
        <v>1</v>
      </c>
      <c r="AI475" t="s">
        <v>72</v>
      </c>
      <c r="AJ475" t="s">
        <v>81</v>
      </c>
      <c r="AK475" t="s">
        <v>73</v>
      </c>
    </row>
    <row r="476" spans="1:37" x14ac:dyDescent="0.2">
      <c r="A476">
        <v>24</v>
      </c>
      <c r="B476" t="s">
        <v>43</v>
      </c>
      <c r="C476" t="s">
        <v>67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v>0</v>
      </c>
      <c r="AH476">
        <v>1</v>
      </c>
      <c r="AI476" t="s">
        <v>80</v>
      </c>
      <c r="AJ476" t="s">
        <v>74</v>
      </c>
      <c r="AK476" t="s">
        <v>70</v>
      </c>
    </row>
    <row r="477" spans="1:37" x14ac:dyDescent="0.2">
      <c r="A477">
        <v>26</v>
      </c>
      <c r="B477" t="s">
        <v>43</v>
      </c>
      <c r="C477" t="s">
        <v>67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v>0</v>
      </c>
      <c r="AH477">
        <v>0</v>
      </c>
      <c r="AI477" t="s">
        <v>76</v>
      </c>
      <c r="AJ477" t="s">
        <v>79</v>
      </c>
      <c r="AK477" t="s">
        <v>70</v>
      </c>
    </row>
    <row r="478" spans="1:37" x14ac:dyDescent="0.2">
      <c r="A478">
        <v>24</v>
      </c>
      <c r="B478" t="s">
        <v>43</v>
      </c>
      <c r="C478" t="s">
        <v>67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80</v>
      </c>
      <c r="AJ478" t="s">
        <v>74</v>
      </c>
      <c r="AK478" t="s">
        <v>75</v>
      </c>
    </row>
    <row r="479" spans="1:37" x14ac:dyDescent="0.2">
      <c r="A479">
        <v>50</v>
      </c>
      <c r="B479" t="s">
        <v>43</v>
      </c>
      <c r="C479" t="s">
        <v>71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v>0</v>
      </c>
      <c r="AH479">
        <v>0</v>
      </c>
      <c r="AI479" t="s">
        <v>72</v>
      </c>
      <c r="AJ479" t="s">
        <v>81</v>
      </c>
      <c r="AK479" t="s">
        <v>73</v>
      </c>
    </row>
    <row r="480" spans="1:37" x14ac:dyDescent="0.2">
      <c r="A480">
        <v>25</v>
      </c>
      <c r="B480" t="s">
        <v>43</v>
      </c>
      <c r="C480" t="s">
        <v>67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v>0</v>
      </c>
      <c r="AH480">
        <v>0</v>
      </c>
      <c r="AI480" t="s">
        <v>76</v>
      </c>
      <c r="AJ480" t="s">
        <v>74</v>
      </c>
      <c r="AK480" t="s">
        <v>70</v>
      </c>
    </row>
    <row r="481" spans="1:37" x14ac:dyDescent="0.2">
      <c r="A481">
        <v>24</v>
      </c>
      <c r="B481" t="s">
        <v>35</v>
      </c>
      <c r="C481" t="s">
        <v>71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v>1</v>
      </c>
      <c r="AH481">
        <v>1</v>
      </c>
      <c r="AI481" t="s">
        <v>80</v>
      </c>
      <c r="AJ481" t="s">
        <v>74</v>
      </c>
      <c r="AK481" t="s">
        <v>70</v>
      </c>
    </row>
    <row r="482" spans="1:37" x14ac:dyDescent="0.2">
      <c r="A482">
        <v>30</v>
      </c>
      <c r="B482" t="s">
        <v>35</v>
      </c>
      <c r="C482" t="s">
        <v>71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 t="s">
        <v>76</v>
      </c>
      <c r="AJ482" t="s">
        <v>74</v>
      </c>
      <c r="AK482" t="s">
        <v>75</v>
      </c>
    </row>
    <row r="483" spans="1:37" x14ac:dyDescent="0.2">
      <c r="A483">
        <v>34</v>
      </c>
      <c r="B483" t="s">
        <v>43</v>
      </c>
      <c r="C483" t="s">
        <v>67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v>0</v>
      </c>
      <c r="AH483">
        <v>1</v>
      </c>
      <c r="AI483" t="s">
        <v>76</v>
      </c>
      <c r="AJ483" t="s">
        <v>69</v>
      </c>
      <c r="AK483" t="s">
        <v>70</v>
      </c>
    </row>
    <row r="484" spans="1:37" x14ac:dyDescent="0.2">
      <c r="A484">
        <v>31</v>
      </c>
      <c r="B484" t="s">
        <v>35</v>
      </c>
      <c r="C484" t="s">
        <v>67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v>1</v>
      </c>
      <c r="AH484">
        <v>0</v>
      </c>
      <c r="AI484" t="s">
        <v>76</v>
      </c>
      <c r="AJ484" t="s">
        <v>69</v>
      </c>
      <c r="AK484" t="s">
        <v>77</v>
      </c>
    </row>
    <row r="485" spans="1:37" x14ac:dyDescent="0.2">
      <c r="A485">
        <v>35</v>
      </c>
      <c r="B485" t="s">
        <v>43</v>
      </c>
      <c r="C485" t="s">
        <v>67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v>0</v>
      </c>
      <c r="AH485">
        <v>0</v>
      </c>
      <c r="AI485" t="s">
        <v>68</v>
      </c>
      <c r="AJ485" t="s">
        <v>69</v>
      </c>
      <c r="AK485" t="s">
        <v>77</v>
      </c>
    </row>
    <row r="486" spans="1:37" x14ac:dyDescent="0.2">
      <c r="A486">
        <v>31</v>
      </c>
      <c r="B486" t="s">
        <v>43</v>
      </c>
      <c r="C486" t="s">
        <v>67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v>0</v>
      </c>
      <c r="AH486">
        <v>0</v>
      </c>
      <c r="AI486" t="s">
        <v>76</v>
      </c>
      <c r="AJ486" t="s">
        <v>69</v>
      </c>
      <c r="AK486" t="s">
        <v>70</v>
      </c>
    </row>
    <row r="487" spans="1:37" x14ac:dyDescent="0.2">
      <c r="A487">
        <v>27</v>
      </c>
      <c r="B487" t="s">
        <v>43</v>
      </c>
      <c r="C487" t="s">
        <v>67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v>0</v>
      </c>
      <c r="AH487">
        <v>0</v>
      </c>
      <c r="AI487" t="s">
        <v>76</v>
      </c>
      <c r="AJ487" t="s">
        <v>74</v>
      </c>
      <c r="AK487" t="s">
        <v>70</v>
      </c>
    </row>
    <row r="488" spans="1:37" x14ac:dyDescent="0.2">
      <c r="A488">
        <v>37</v>
      </c>
      <c r="B488" t="s">
        <v>43</v>
      </c>
      <c r="C488" t="s">
        <v>67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v>0</v>
      </c>
      <c r="AH488">
        <v>1</v>
      </c>
      <c r="AI488" t="s">
        <v>68</v>
      </c>
      <c r="AJ488" t="s">
        <v>79</v>
      </c>
      <c r="AK488" t="s">
        <v>77</v>
      </c>
    </row>
    <row r="489" spans="1:37" x14ac:dyDescent="0.2">
      <c r="A489">
        <v>20</v>
      </c>
      <c r="B489" t="s">
        <v>43</v>
      </c>
      <c r="C489" t="s">
        <v>67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80</v>
      </c>
      <c r="AJ489" t="s">
        <v>74</v>
      </c>
      <c r="AK489" t="s">
        <v>75</v>
      </c>
    </row>
    <row r="490" spans="1:37" x14ac:dyDescent="0.2">
      <c r="A490">
        <v>42</v>
      </c>
      <c r="B490" t="s">
        <v>43</v>
      </c>
      <c r="C490" t="s">
        <v>67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v>0</v>
      </c>
      <c r="AH490">
        <v>0</v>
      </c>
      <c r="AI490" t="s">
        <v>68</v>
      </c>
      <c r="AJ490" t="s">
        <v>69</v>
      </c>
      <c r="AK490" t="s">
        <v>73</v>
      </c>
    </row>
    <row r="491" spans="1:37" x14ac:dyDescent="0.2">
      <c r="A491">
        <v>43</v>
      </c>
      <c r="B491" t="s">
        <v>43</v>
      </c>
      <c r="C491" t="s">
        <v>67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  <c r="AI491" t="s">
        <v>68</v>
      </c>
      <c r="AJ491" t="s">
        <v>81</v>
      </c>
      <c r="AK491" t="s">
        <v>75</v>
      </c>
    </row>
    <row r="492" spans="1:37" x14ac:dyDescent="0.2">
      <c r="A492">
        <v>38</v>
      </c>
      <c r="B492" t="s">
        <v>43</v>
      </c>
      <c r="C492" t="s">
        <v>67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68</v>
      </c>
      <c r="AJ492" t="s">
        <v>74</v>
      </c>
      <c r="AK492" t="s">
        <v>75</v>
      </c>
    </row>
    <row r="493" spans="1:37" x14ac:dyDescent="0.2">
      <c r="A493">
        <v>43</v>
      </c>
      <c r="B493" t="s">
        <v>43</v>
      </c>
      <c r="C493" t="s">
        <v>71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v>0</v>
      </c>
      <c r="AH493">
        <v>1</v>
      </c>
      <c r="AI493" t="s">
        <v>68</v>
      </c>
      <c r="AJ493" t="s">
        <v>69</v>
      </c>
      <c r="AK493" t="s">
        <v>70</v>
      </c>
    </row>
    <row r="494" spans="1:37" x14ac:dyDescent="0.2">
      <c r="A494">
        <v>48</v>
      </c>
      <c r="B494" t="s">
        <v>43</v>
      </c>
      <c r="C494" t="s">
        <v>67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v>0</v>
      </c>
      <c r="AH494">
        <v>0</v>
      </c>
      <c r="AI494" t="s">
        <v>72</v>
      </c>
      <c r="AJ494" t="s">
        <v>81</v>
      </c>
      <c r="AK494" t="s">
        <v>77</v>
      </c>
    </row>
    <row r="495" spans="1:37" x14ac:dyDescent="0.2">
      <c r="A495">
        <v>44</v>
      </c>
      <c r="B495" t="s">
        <v>43</v>
      </c>
      <c r="C495" t="s">
        <v>67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v>0</v>
      </c>
      <c r="AH495">
        <v>0</v>
      </c>
      <c r="AI495" t="s">
        <v>68</v>
      </c>
      <c r="AJ495" t="s">
        <v>69</v>
      </c>
      <c r="AK495" t="s">
        <v>77</v>
      </c>
    </row>
    <row r="496" spans="1:37" x14ac:dyDescent="0.2">
      <c r="A496">
        <v>34</v>
      </c>
      <c r="B496" t="s">
        <v>43</v>
      </c>
      <c r="C496" t="s">
        <v>67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v>0</v>
      </c>
      <c r="AH496">
        <v>1</v>
      </c>
      <c r="AI496" t="s">
        <v>76</v>
      </c>
      <c r="AJ496" t="s">
        <v>74</v>
      </c>
      <c r="AK496" t="s">
        <v>70</v>
      </c>
    </row>
    <row r="497" spans="1:37" x14ac:dyDescent="0.2">
      <c r="A497">
        <v>27</v>
      </c>
      <c r="B497" t="s">
        <v>35</v>
      </c>
      <c r="C497" t="s">
        <v>67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v>1</v>
      </c>
      <c r="AH497">
        <v>0</v>
      </c>
      <c r="AI497" t="s">
        <v>76</v>
      </c>
      <c r="AJ497" t="s">
        <v>69</v>
      </c>
      <c r="AK497" t="s">
        <v>77</v>
      </c>
    </row>
    <row r="498" spans="1:37" x14ac:dyDescent="0.2">
      <c r="A498">
        <v>21</v>
      </c>
      <c r="B498" t="s">
        <v>43</v>
      </c>
      <c r="C498" t="s">
        <v>67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v>0</v>
      </c>
      <c r="AH498">
        <v>0</v>
      </c>
      <c r="AI498" t="s">
        <v>80</v>
      </c>
      <c r="AJ498" t="s">
        <v>69</v>
      </c>
      <c r="AK498" t="s">
        <v>77</v>
      </c>
    </row>
    <row r="499" spans="1:37" x14ac:dyDescent="0.2">
      <c r="A499">
        <v>44</v>
      </c>
      <c r="B499" t="s">
        <v>43</v>
      </c>
      <c r="C499" t="s">
        <v>67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v>0</v>
      </c>
      <c r="AH499">
        <v>1</v>
      </c>
      <c r="AI499" t="s">
        <v>68</v>
      </c>
      <c r="AJ499" t="s">
        <v>81</v>
      </c>
      <c r="AK499" t="s">
        <v>77</v>
      </c>
    </row>
    <row r="500" spans="1:37" x14ac:dyDescent="0.2">
      <c r="A500">
        <v>22</v>
      </c>
      <c r="B500" t="s">
        <v>43</v>
      </c>
      <c r="C500" t="s">
        <v>67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v>0</v>
      </c>
      <c r="AH500">
        <v>0</v>
      </c>
      <c r="AI500" t="s">
        <v>80</v>
      </c>
      <c r="AJ500" t="s">
        <v>74</v>
      </c>
      <c r="AK500" t="s">
        <v>77</v>
      </c>
    </row>
    <row r="501" spans="1:37" x14ac:dyDescent="0.2">
      <c r="A501">
        <v>33</v>
      </c>
      <c r="B501" t="s">
        <v>43</v>
      </c>
      <c r="C501" t="s">
        <v>67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v>0</v>
      </c>
      <c r="AH501">
        <v>0</v>
      </c>
      <c r="AI501" t="s">
        <v>76</v>
      </c>
      <c r="AJ501" t="s">
        <v>79</v>
      </c>
      <c r="AK501" t="s">
        <v>70</v>
      </c>
    </row>
    <row r="502" spans="1:37" x14ac:dyDescent="0.2">
      <c r="A502">
        <v>32</v>
      </c>
      <c r="B502" t="s">
        <v>43</v>
      </c>
      <c r="C502" t="s">
        <v>67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v>0</v>
      </c>
      <c r="AH502">
        <v>1</v>
      </c>
      <c r="AI502" t="s">
        <v>76</v>
      </c>
      <c r="AJ502" t="s">
        <v>79</v>
      </c>
      <c r="AK502" t="s">
        <v>70</v>
      </c>
    </row>
    <row r="503" spans="1:37" x14ac:dyDescent="0.2">
      <c r="A503">
        <v>30</v>
      </c>
      <c r="B503" t="s">
        <v>43</v>
      </c>
      <c r="C503" t="s">
        <v>71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76</v>
      </c>
      <c r="AJ503" t="s">
        <v>74</v>
      </c>
      <c r="AK503" t="s">
        <v>75</v>
      </c>
    </row>
    <row r="504" spans="1:37" x14ac:dyDescent="0.2">
      <c r="A504">
        <v>53</v>
      </c>
      <c r="B504" t="s">
        <v>43</v>
      </c>
      <c r="C504" t="s">
        <v>67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v>0</v>
      </c>
      <c r="AH504">
        <v>0</v>
      </c>
      <c r="AI504" t="s">
        <v>72</v>
      </c>
      <c r="AJ504" t="s">
        <v>79</v>
      </c>
      <c r="AK504" t="s">
        <v>73</v>
      </c>
    </row>
    <row r="505" spans="1:37" x14ac:dyDescent="0.2">
      <c r="A505">
        <v>34</v>
      </c>
      <c r="B505" t="s">
        <v>43</v>
      </c>
      <c r="C505" t="s">
        <v>67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v>0</v>
      </c>
      <c r="AH505">
        <v>0</v>
      </c>
      <c r="AI505" t="s">
        <v>76</v>
      </c>
      <c r="AJ505" t="s">
        <v>74</v>
      </c>
      <c r="AK505" t="s">
        <v>73</v>
      </c>
    </row>
    <row r="506" spans="1:37" x14ac:dyDescent="0.2">
      <c r="A506">
        <v>45</v>
      </c>
      <c r="B506" t="s">
        <v>35</v>
      </c>
      <c r="C506" t="s">
        <v>71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0</v>
      </c>
      <c r="AI506" t="s">
        <v>72</v>
      </c>
      <c r="AJ506" t="s">
        <v>69</v>
      </c>
      <c r="AK506" t="s">
        <v>75</v>
      </c>
    </row>
    <row r="507" spans="1:37" x14ac:dyDescent="0.2">
      <c r="A507">
        <v>26</v>
      </c>
      <c r="B507" t="s">
        <v>43</v>
      </c>
      <c r="C507" t="s">
        <v>67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v>0</v>
      </c>
      <c r="AH507">
        <v>1</v>
      </c>
      <c r="AI507" t="s">
        <v>76</v>
      </c>
      <c r="AJ507" t="s">
        <v>74</v>
      </c>
      <c r="AK507" t="s">
        <v>77</v>
      </c>
    </row>
    <row r="508" spans="1:37" x14ac:dyDescent="0.2">
      <c r="A508">
        <v>37</v>
      </c>
      <c r="B508" t="s">
        <v>43</v>
      </c>
      <c r="C508" t="s">
        <v>67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v>0</v>
      </c>
      <c r="AH508">
        <v>0</v>
      </c>
      <c r="AI508" t="s">
        <v>68</v>
      </c>
      <c r="AJ508" t="s">
        <v>79</v>
      </c>
      <c r="AK508" t="s">
        <v>73</v>
      </c>
    </row>
    <row r="509" spans="1:37" x14ac:dyDescent="0.2">
      <c r="A509">
        <v>29</v>
      </c>
      <c r="B509" t="s">
        <v>43</v>
      </c>
      <c r="C509" t="s">
        <v>67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v>0</v>
      </c>
      <c r="AH509">
        <v>0</v>
      </c>
      <c r="AI509" t="s">
        <v>76</v>
      </c>
      <c r="AJ509" t="s">
        <v>69</v>
      </c>
      <c r="AK509" t="s">
        <v>70</v>
      </c>
    </row>
    <row r="510" spans="1:37" x14ac:dyDescent="0.2">
      <c r="A510">
        <v>35</v>
      </c>
      <c r="B510" t="s">
        <v>43</v>
      </c>
      <c r="C510" t="s">
        <v>67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v>0</v>
      </c>
      <c r="AH510">
        <v>0</v>
      </c>
      <c r="AI510" t="s">
        <v>68</v>
      </c>
      <c r="AJ510" t="s">
        <v>79</v>
      </c>
      <c r="AK510" t="s">
        <v>73</v>
      </c>
    </row>
    <row r="511" spans="1:37" x14ac:dyDescent="0.2">
      <c r="A511">
        <v>33</v>
      </c>
      <c r="B511" t="s">
        <v>43</v>
      </c>
      <c r="C511" t="s">
        <v>71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v>0</v>
      </c>
      <c r="AH511">
        <v>0</v>
      </c>
      <c r="AI511" t="s">
        <v>76</v>
      </c>
      <c r="AJ511" t="s">
        <v>79</v>
      </c>
      <c r="AK511" t="s">
        <v>73</v>
      </c>
    </row>
    <row r="512" spans="1:37" x14ac:dyDescent="0.2">
      <c r="A512">
        <v>54</v>
      </c>
      <c r="B512" t="s">
        <v>43</v>
      </c>
      <c r="C512" t="s">
        <v>67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v>0</v>
      </c>
      <c r="AH512">
        <v>0</v>
      </c>
      <c r="AI512" t="s">
        <v>72</v>
      </c>
      <c r="AJ512" t="s">
        <v>81</v>
      </c>
      <c r="AK512" t="s">
        <v>70</v>
      </c>
    </row>
    <row r="513" spans="1:37" x14ac:dyDescent="0.2">
      <c r="A513">
        <v>36</v>
      </c>
      <c r="B513" t="s">
        <v>43</v>
      </c>
      <c r="C513" t="s">
        <v>67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v>0</v>
      </c>
      <c r="AH513">
        <v>1</v>
      </c>
      <c r="AI513" t="s">
        <v>68</v>
      </c>
      <c r="AJ513" t="s">
        <v>79</v>
      </c>
      <c r="AK513" t="s">
        <v>77</v>
      </c>
    </row>
    <row r="514" spans="1:37" x14ac:dyDescent="0.2">
      <c r="A514">
        <v>27</v>
      </c>
      <c r="B514" t="s">
        <v>43</v>
      </c>
      <c r="C514" t="s">
        <v>67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v>0</v>
      </c>
      <c r="AH514">
        <v>0</v>
      </c>
      <c r="AI514" t="s">
        <v>76</v>
      </c>
      <c r="AJ514" t="s">
        <v>74</v>
      </c>
      <c r="AK514" t="s">
        <v>77</v>
      </c>
    </row>
    <row r="515" spans="1:37" x14ac:dyDescent="0.2">
      <c r="A515">
        <v>20</v>
      </c>
      <c r="B515" t="s">
        <v>35</v>
      </c>
      <c r="C515" t="s">
        <v>67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v>1</v>
      </c>
      <c r="AH515">
        <v>1</v>
      </c>
      <c r="AI515" t="s">
        <v>80</v>
      </c>
      <c r="AJ515" t="s">
        <v>74</v>
      </c>
      <c r="AK515" t="s">
        <v>75</v>
      </c>
    </row>
    <row r="516" spans="1:37" x14ac:dyDescent="0.2">
      <c r="A516">
        <v>33</v>
      </c>
      <c r="B516" t="s">
        <v>35</v>
      </c>
      <c r="C516" t="s">
        <v>71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v>1</v>
      </c>
      <c r="AH516">
        <v>1</v>
      </c>
      <c r="AI516" t="s">
        <v>76</v>
      </c>
      <c r="AJ516" t="s">
        <v>69</v>
      </c>
      <c r="AK516" t="s">
        <v>73</v>
      </c>
    </row>
    <row r="517" spans="1:37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68</v>
      </c>
      <c r="AJ517" t="s">
        <v>74</v>
      </c>
      <c r="AK517" t="s">
        <v>75</v>
      </c>
    </row>
    <row r="518" spans="1:37" x14ac:dyDescent="0.2">
      <c r="A518">
        <v>23</v>
      </c>
      <c r="B518" t="s">
        <v>43</v>
      </c>
      <c r="C518" t="s">
        <v>67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v>0</v>
      </c>
      <c r="AH518">
        <v>0</v>
      </c>
      <c r="AI518" t="s">
        <v>80</v>
      </c>
      <c r="AJ518" t="s">
        <v>74</v>
      </c>
      <c r="AK518" t="s">
        <v>77</v>
      </c>
    </row>
    <row r="519" spans="1:37" x14ac:dyDescent="0.2">
      <c r="A519">
        <v>25</v>
      </c>
      <c r="B519" t="s">
        <v>43</v>
      </c>
      <c r="C519" t="s">
        <v>67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v>0</v>
      </c>
      <c r="AH519">
        <v>0</v>
      </c>
      <c r="AI519" t="s">
        <v>76</v>
      </c>
      <c r="AJ519" t="s">
        <v>69</v>
      </c>
      <c r="AK519" t="s">
        <v>77</v>
      </c>
    </row>
    <row r="520" spans="1:37" x14ac:dyDescent="0.2">
      <c r="A520">
        <v>38</v>
      </c>
      <c r="B520" t="s">
        <v>43</v>
      </c>
      <c r="C520" t="s">
        <v>67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v>0</v>
      </c>
      <c r="AH520">
        <v>0</v>
      </c>
      <c r="AI520" t="s">
        <v>68</v>
      </c>
      <c r="AJ520" t="s">
        <v>69</v>
      </c>
      <c r="AK520" t="s">
        <v>70</v>
      </c>
    </row>
    <row r="521" spans="1:37" x14ac:dyDescent="0.2">
      <c r="A521">
        <v>29</v>
      </c>
      <c r="B521" t="s">
        <v>43</v>
      </c>
      <c r="C521" t="s">
        <v>71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v>0</v>
      </c>
      <c r="AH521">
        <v>0</v>
      </c>
      <c r="AI521" t="s">
        <v>76</v>
      </c>
      <c r="AJ521" t="s">
        <v>74</v>
      </c>
      <c r="AK521" t="s">
        <v>73</v>
      </c>
    </row>
    <row r="522" spans="1:37" x14ac:dyDescent="0.2">
      <c r="A522">
        <v>48</v>
      </c>
      <c r="B522" t="s">
        <v>43</v>
      </c>
      <c r="C522" t="s">
        <v>67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v>0</v>
      </c>
      <c r="AH522">
        <v>0</v>
      </c>
      <c r="AI522" t="s">
        <v>72</v>
      </c>
      <c r="AJ522" t="s">
        <v>79</v>
      </c>
      <c r="AK522" t="s">
        <v>77</v>
      </c>
    </row>
    <row r="523" spans="1:37" x14ac:dyDescent="0.2">
      <c r="A523">
        <v>27</v>
      </c>
      <c r="B523" t="s">
        <v>43</v>
      </c>
      <c r="C523" t="s">
        <v>71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v>0</v>
      </c>
      <c r="AH523">
        <v>1</v>
      </c>
      <c r="AI523" t="s">
        <v>76</v>
      </c>
      <c r="AJ523" t="s">
        <v>69</v>
      </c>
      <c r="AK523" t="s">
        <v>70</v>
      </c>
    </row>
    <row r="524" spans="1:37" x14ac:dyDescent="0.2">
      <c r="A524">
        <v>37</v>
      </c>
      <c r="B524" t="s">
        <v>43</v>
      </c>
      <c r="C524" t="s">
        <v>67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68</v>
      </c>
      <c r="AJ524" t="s">
        <v>69</v>
      </c>
      <c r="AK524" t="s">
        <v>75</v>
      </c>
    </row>
    <row r="525" spans="1:37" x14ac:dyDescent="0.2">
      <c r="A525">
        <v>50</v>
      </c>
      <c r="B525" t="s">
        <v>43</v>
      </c>
      <c r="C525" t="s">
        <v>67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v>0</v>
      </c>
      <c r="AH525">
        <v>1</v>
      </c>
      <c r="AI525" t="s">
        <v>72</v>
      </c>
      <c r="AJ525" t="s">
        <v>69</v>
      </c>
      <c r="AK525" t="s">
        <v>73</v>
      </c>
    </row>
    <row r="526" spans="1:37" x14ac:dyDescent="0.2">
      <c r="A526">
        <v>34</v>
      </c>
      <c r="B526" t="s">
        <v>43</v>
      </c>
      <c r="C526" t="s">
        <v>67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v>0</v>
      </c>
      <c r="AH526">
        <v>0</v>
      </c>
      <c r="AI526" t="s">
        <v>76</v>
      </c>
      <c r="AJ526" t="s">
        <v>79</v>
      </c>
      <c r="AK526" t="s">
        <v>70</v>
      </c>
    </row>
    <row r="527" spans="1:37" x14ac:dyDescent="0.2">
      <c r="A527">
        <v>24</v>
      </c>
      <c r="B527" t="s">
        <v>35</v>
      </c>
      <c r="C527" t="s">
        <v>67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v>1</v>
      </c>
      <c r="AH527">
        <v>0</v>
      </c>
      <c r="AI527" t="s">
        <v>80</v>
      </c>
      <c r="AJ527" t="s">
        <v>69</v>
      </c>
      <c r="AK527" t="s">
        <v>77</v>
      </c>
    </row>
    <row r="528" spans="1:37" x14ac:dyDescent="0.2">
      <c r="A528">
        <v>39</v>
      </c>
      <c r="B528" t="s">
        <v>43</v>
      </c>
      <c r="C528" t="s">
        <v>67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v>0</v>
      </c>
      <c r="AH528">
        <v>0</v>
      </c>
      <c r="AI528" t="s">
        <v>68</v>
      </c>
      <c r="AJ528" t="s">
        <v>69</v>
      </c>
      <c r="AK528" t="s">
        <v>73</v>
      </c>
    </row>
    <row r="529" spans="1:37" x14ac:dyDescent="0.2">
      <c r="A529">
        <v>32</v>
      </c>
      <c r="B529" t="s">
        <v>43</v>
      </c>
      <c r="C529" t="s">
        <v>67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v>0</v>
      </c>
      <c r="AH529">
        <v>0</v>
      </c>
      <c r="AI529" t="s">
        <v>76</v>
      </c>
      <c r="AJ529" t="s">
        <v>69</v>
      </c>
      <c r="AK529" t="s">
        <v>73</v>
      </c>
    </row>
    <row r="530" spans="1:37" x14ac:dyDescent="0.2">
      <c r="A530">
        <v>50</v>
      </c>
      <c r="B530" t="s">
        <v>35</v>
      </c>
      <c r="C530" t="s">
        <v>71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v>1</v>
      </c>
      <c r="AH530">
        <v>1</v>
      </c>
      <c r="AI530" t="s">
        <v>72</v>
      </c>
      <c r="AJ530" t="s">
        <v>79</v>
      </c>
      <c r="AK530" t="s">
        <v>77</v>
      </c>
    </row>
    <row r="531" spans="1:37" x14ac:dyDescent="0.2">
      <c r="A531">
        <v>38</v>
      </c>
      <c r="B531" t="s">
        <v>43</v>
      </c>
      <c r="C531" t="s">
        <v>67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v>0</v>
      </c>
      <c r="AH531">
        <v>0</v>
      </c>
      <c r="AI531" t="s">
        <v>68</v>
      </c>
      <c r="AJ531" t="s">
        <v>79</v>
      </c>
      <c r="AK531" t="s">
        <v>70</v>
      </c>
    </row>
    <row r="532" spans="1:37" x14ac:dyDescent="0.2">
      <c r="A532">
        <v>27</v>
      </c>
      <c r="B532" t="s">
        <v>43</v>
      </c>
      <c r="C532" t="s">
        <v>67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v>0</v>
      </c>
      <c r="AH532">
        <v>0</v>
      </c>
      <c r="AI532" t="s">
        <v>76</v>
      </c>
      <c r="AJ532" t="s">
        <v>79</v>
      </c>
      <c r="AK532" t="s">
        <v>70</v>
      </c>
    </row>
    <row r="533" spans="1:37" x14ac:dyDescent="0.2">
      <c r="A533">
        <v>32</v>
      </c>
      <c r="B533" t="s">
        <v>43</v>
      </c>
      <c r="C533" t="s">
        <v>67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v>0</v>
      </c>
      <c r="AH533">
        <v>0</v>
      </c>
      <c r="AI533" t="s">
        <v>76</v>
      </c>
      <c r="AJ533" t="s">
        <v>81</v>
      </c>
      <c r="AK533" t="s">
        <v>70</v>
      </c>
    </row>
    <row r="534" spans="1:37" x14ac:dyDescent="0.2">
      <c r="A534">
        <v>47</v>
      </c>
      <c r="B534" t="s">
        <v>43</v>
      </c>
      <c r="C534" t="s">
        <v>67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v>0</v>
      </c>
      <c r="AH534">
        <v>0</v>
      </c>
      <c r="AI534" t="s">
        <v>72</v>
      </c>
      <c r="AJ534" t="s">
        <v>69</v>
      </c>
      <c r="AK534" t="s">
        <v>70</v>
      </c>
    </row>
    <row r="535" spans="1:37" x14ac:dyDescent="0.2">
      <c r="A535">
        <v>40</v>
      </c>
      <c r="B535" t="s">
        <v>43</v>
      </c>
      <c r="C535" t="s">
        <v>71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v>0</v>
      </c>
      <c r="AH535">
        <v>1</v>
      </c>
      <c r="AI535" t="s">
        <v>68</v>
      </c>
      <c r="AJ535" t="s">
        <v>81</v>
      </c>
      <c r="AK535" t="s">
        <v>73</v>
      </c>
    </row>
    <row r="536" spans="1:37" x14ac:dyDescent="0.2">
      <c r="A536">
        <v>53</v>
      </c>
      <c r="B536" t="s">
        <v>43</v>
      </c>
      <c r="C536" t="s">
        <v>67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v>0</v>
      </c>
      <c r="AH536">
        <v>0</v>
      </c>
      <c r="AI536" t="s">
        <v>72</v>
      </c>
      <c r="AJ536" t="s">
        <v>81</v>
      </c>
      <c r="AK536" t="s">
        <v>70</v>
      </c>
    </row>
    <row r="537" spans="1:37" x14ac:dyDescent="0.2">
      <c r="A537">
        <v>41</v>
      </c>
      <c r="B537" t="s">
        <v>43</v>
      </c>
      <c r="C537" t="s">
        <v>67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v>0</v>
      </c>
      <c r="AH537">
        <v>0</v>
      </c>
      <c r="AI537" t="s">
        <v>68</v>
      </c>
      <c r="AJ537" t="s">
        <v>81</v>
      </c>
      <c r="AK537" t="s">
        <v>73</v>
      </c>
    </row>
    <row r="538" spans="1:37" x14ac:dyDescent="0.2">
      <c r="A538">
        <v>60</v>
      </c>
      <c r="B538" t="s">
        <v>43</v>
      </c>
      <c r="C538" t="s">
        <v>67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v>0</v>
      </c>
      <c r="AH538">
        <v>0</v>
      </c>
      <c r="AI538" t="s">
        <v>78</v>
      </c>
      <c r="AJ538" t="s">
        <v>69</v>
      </c>
      <c r="AK538" t="s">
        <v>77</v>
      </c>
    </row>
    <row r="539" spans="1:37" x14ac:dyDescent="0.2">
      <c r="A539">
        <v>27</v>
      </c>
      <c r="B539" t="s">
        <v>43</v>
      </c>
      <c r="C539" t="s">
        <v>71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v>0</v>
      </c>
      <c r="AH539">
        <v>0</v>
      </c>
      <c r="AI539" t="s">
        <v>76</v>
      </c>
      <c r="AJ539" t="s">
        <v>79</v>
      </c>
      <c r="AK539" t="s">
        <v>70</v>
      </c>
    </row>
    <row r="540" spans="1:37" x14ac:dyDescent="0.2">
      <c r="A540">
        <v>41</v>
      </c>
      <c r="B540" t="s">
        <v>43</v>
      </c>
      <c r="C540" t="s">
        <v>67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v>0</v>
      </c>
      <c r="AH540">
        <v>0</v>
      </c>
      <c r="AI540" t="s">
        <v>68</v>
      </c>
      <c r="AJ540" t="s">
        <v>81</v>
      </c>
      <c r="AK540" t="s">
        <v>73</v>
      </c>
    </row>
    <row r="541" spans="1:37" x14ac:dyDescent="0.2">
      <c r="A541">
        <v>50</v>
      </c>
      <c r="B541" t="s">
        <v>43</v>
      </c>
      <c r="C541" t="s">
        <v>67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v>0</v>
      </c>
      <c r="AH541">
        <v>0</v>
      </c>
      <c r="AI541" t="s">
        <v>72</v>
      </c>
      <c r="AJ541" t="s">
        <v>69</v>
      </c>
      <c r="AK541" t="s">
        <v>77</v>
      </c>
    </row>
    <row r="542" spans="1:37" x14ac:dyDescent="0.2">
      <c r="A542">
        <v>28</v>
      </c>
      <c r="B542" t="s">
        <v>35</v>
      </c>
      <c r="C542" t="s">
        <v>67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v>1</v>
      </c>
      <c r="AH542">
        <v>1</v>
      </c>
      <c r="AI542" t="s">
        <v>76</v>
      </c>
      <c r="AJ542" t="s">
        <v>74</v>
      </c>
      <c r="AK542" t="s">
        <v>70</v>
      </c>
    </row>
    <row r="543" spans="1:37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v>0</v>
      </c>
      <c r="AH543">
        <v>0</v>
      </c>
      <c r="AI543" t="s">
        <v>68</v>
      </c>
      <c r="AJ543" t="s">
        <v>81</v>
      </c>
      <c r="AK543" t="s">
        <v>70</v>
      </c>
    </row>
    <row r="544" spans="1:37" x14ac:dyDescent="0.2">
      <c r="A544">
        <v>38</v>
      </c>
      <c r="B544" t="s">
        <v>43</v>
      </c>
      <c r="C544" t="s">
        <v>67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1</v>
      </c>
      <c r="AI544" t="s">
        <v>68</v>
      </c>
      <c r="AJ544" t="s">
        <v>79</v>
      </c>
      <c r="AK544" t="s">
        <v>75</v>
      </c>
    </row>
    <row r="545" spans="1:37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v>0</v>
      </c>
      <c r="AH545">
        <v>0</v>
      </c>
      <c r="AI545" t="s">
        <v>68</v>
      </c>
      <c r="AJ545" t="s">
        <v>69</v>
      </c>
      <c r="AK545" t="s">
        <v>70</v>
      </c>
    </row>
    <row r="546" spans="1:37" x14ac:dyDescent="0.2">
      <c r="A546">
        <v>47</v>
      </c>
      <c r="B546" t="s">
        <v>43</v>
      </c>
      <c r="C546" t="s">
        <v>71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v>0</v>
      </c>
      <c r="AH546">
        <v>1</v>
      </c>
      <c r="AI546" t="s">
        <v>72</v>
      </c>
      <c r="AJ546" t="s">
        <v>81</v>
      </c>
      <c r="AK546" t="s">
        <v>73</v>
      </c>
    </row>
    <row r="547" spans="1:37" x14ac:dyDescent="0.2">
      <c r="A547">
        <v>30</v>
      </c>
      <c r="B547" t="s">
        <v>43</v>
      </c>
      <c r="C547" t="s">
        <v>67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v>0</v>
      </c>
      <c r="AH547">
        <v>0</v>
      </c>
      <c r="AI547" t="s">
        <v>76</v>
      </c>
      <c r="AJ547" t="s">
        <v>69</v>
      </c>
      <c r="AK547" t="s">
        <v>70</v>
      </c>
    </row>
    <row r="548" spans="1:37" x14ac:dyDescent="0.2">
      <c r="A548">
        <v>29</v>
      </c>
      <c r="B548" t="s">
        <v>43</v>
      </c>
      <c r="C548" t="s">
        <v>67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76</v>
      </c>
      <c r="AJ548" t="s">
        <v>74</v>
      </c>
      <c r="AK548" t="s">
        <v>75</v>
      </c>
    </row>
    <row r="549" spans="1:37" x14ac:dyDescent="0.2">
      <c r="A549">
        <v>42</v>
      </c>
      <c r="B549" t="s">
        <v>35</v>
      </c>
      <c r="C549" t="s">
        <v>71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v>1</v>
      </c>
      <c r="AH549">
        <v>1</v>
      </c>
      <c r="AI549" t="s">
        <v>68</v>
      </c>
      <c r="AJ549" t="s">
        <v>74</v>
      </c>
      <c r="AK549" t="s">
        <v>77</v>
      </c>
    </row>
    <row r="550" spans="1:37" x14ac:dyDescent="0.2">
      <c r="A550">
        <v>43</v>
      </c>
      <c r="B550" t="s">
        <v>43</v>
      </c>
      <c r="C550" t="s">
        <v>71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0</v>
      </c>
      <c r="AH550">
        <v>0</v>
      </c>
      <c r="AI550" t="s">
        <v>68</v>
      </c>
      <c r="AJ550" t="s">
        <v>79</v>
      </c>
      <c r="AK550" t="s">
        <v>77</v>
      </c>
    </row>
    <row r="551" spans="1:37" x14ac:dyDescent="0.2">
      <c r="A551">
        <v>34</v>
      </c>
      <c r="B551" t="s">
        <v>43</v>
      </c>
      <c r="C551" t="s">
        <v>67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v>0</v>
      </c>
      <c r="AH551">
        <v>0</v>
      </c>
      <c r="AI551" t="s">
        <v>76</v>
      </c>
      <c r="AJ551" t="s">
        <v>79</v>
      </c>
      <c r="AK551" t="s">
        <v>70</v>
      </c>
    </row>
    <row r="552" spans="1:37" x14ac:dyDescent="0.2">
      <c r="A552">
        <v>23</v>
      </c>
      <c r="B552" t="s">
        <v>43</v>
      </c>
      <c r="C552" t="s">
        <v>67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v>0</v>
      </c>
      <c r="AH552">
        <v>0</v>
      </c>
      <c r="AI552" t="s">
        <v>80</v>
      </c>
      <c r="AJ552" t="s">
        <v>74</v>
      </c>
      <c r="AK552" t="s">
        <v>77</v>
      </c>
    </row>
    <row r="553" spans="1:37" x14ac:dyDescent="0.2">
      <c r="A553">
        <v>39</v>
      </c>
      <c r="B553" t="s">
        <v>43</v>
      </c>
      <c r="C553" t="s">
        <v>67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v>0</v>
      </c>
      <c r="AH553">
        <v>0</v>
      </c>
      <c r="AI553" t="s">
        <v>68</v>
      </c>
      <c r="AJ553" t="s">
        <v>79</v>
      </c>
      <c r="AK553" t="s">
        <v>70</v>
      </c>
    </row>
    <row r="554" spans="1:37" x14ac:dyDescent="0.2">
      <c r="A554">
        <v>56</v>
      </c>
      <c r="B554" t="s">
        <v>43</v>
      </c>
      <c r="C554" t="s">
        <v>67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v>0</v>
      </c>
      <c r="AH554">
        <v>0</v>
      </c>
      <c r="AI554" t="s">
        <v>78</v>
      </c>
      <c r="AJ554" t="s">
        <v>81</v>
      </c>
      <c r="AK554" t="s">
        <v>73</v>
      </c>
    </row>
    <row r="555" spans="1:37" x14ac:dyDescent="0.2">
      <c r="A555">
        <v>40</v>
      </c>
      <c r="B555" t="s">
        <v>43</v>
      </c>
      <c r="C555" t="s">
        <v>67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v>0</v>
      </c>
      <c r="AH555">
        <v>1</v>
      </c>
      <c r="AI555" t="s">
        <v>68</v>
      </c>
      <c r="AJ555" t="s">
        <v>74</v>
      </c>
      <c r="AK555" t="s">
        <v>77</v>
      </c>
    </row>
    <row r="556" spans="1:37" x14ac:dyDescent="0.2">
      <c r="A556">
        <v>27</v>
      </c>
      <c r="B556" t="s">
        <v>43</v>
      </c>
      <c r="C556" t="s">
        <v>67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v>0</v>
      </c>
      <c r="AH556">
        <v>0</v>
      </c>
      <c r="AI556" t="s">
        <v>76</v>
      </c>
      <c r="AJ556" t="s">
        <v>79</v>
      </c>
      <c r="AK556" t="s">
        <v>70</v>
      </c>
    </row>
    <row r="557" spans="1:37" x14ac:dyDescent="0.2">
      <c r="A557">
        <v>29</v>
      </c>
      <c r="B557" t="s">
        <v>43</v>
      </c>
      <c r="C557" t="s">
        <v>67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v>0</v>
      </c>
      <c r="AH557">
        <v>0</v>
      </c>
      <c r="AI557" t="s">
        <v>76</v>
      </c>
      <c r="AJ557" t="s">
        <v>74</v>
      </c>
      <c r="AK557" t="s">
        <v>77</v>
      </c>
    </row>
    <row r="558" spans="1:37" x14ac:dyDescent="0.2">
      <c r="A558">
        <v>53</v>
      </c>
      <c r="B558" t="s">
        <v>43</v>
      </c>
      <c r="C558" t="s">
        <v>67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v>0</v>
      </c>
      <c r="AH558">
        <v>0</v>
      </c>
      <c r="AI558" t="s">
        <v>72</v>
      </c>
      <c r="AJ558" t="s">
        <v>74</v>
      </c>
      <c r="AK558" t="s">
        <v>77</v>
      </c>
    </row>
    <row r="559" spans="1:37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68</v>
      </c>
      <c r="AJ559" t="s">
        <v>69</v>
      </c>
      <c r="AK559" t="s">
        <v>75</v>
      </c>
    </row>
    <row r="560" spans="1:37" x14ac:dyDescent="0.2">
      <c r="A560">
        <v>32</v>
      </c>
      <c r="B560" t="s">
        <v>43</v>
      </c>
      <c r="C560" t="s">
        <v>71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v>0</v>
      </c>
      <c r="AH560">
        <v>0</v>
      </c>
      <c r="AI560" t="s">
        <v>76</v>
      </c>
      <c r="AJ560" t="s">
        <v>69</v>
      </c>
      <c r="AK560" t="s">
        <v>73</v>
      </c>
    </row>
    <row r="561" spans="1:37" x14ac:dyDescent="0.2">
      <c r="A561">
        <v>38</v>
      </c>
      <c r="B561" t="s">
        <v>43</v>
      </c>
      <c r="C561" t="s">
        <v>67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1</v>
      </c>
      <c r="AI561" t="s">
        <v>68</v>
      </c>
      <c r="AJ561" t="s">
        <v>69</v>
      </c>
      <c r="AK561" t="s">
        <v>75</v>
      </c>
    </row>
    <row r="562" spans="1:37" x14ac:dyDescent="0.2">
      <c r="A562">
        <v>34</v>
      </c>
      <c r="B562" t="s">
        <v>43</v>
      </c>
      <c r="C562" t="s">
        <v>67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76</v>
      </c>
      <c r="AJ562" t="s">
        <v>69</v>
      </c>
      <c r="AK562" t="s">
        <v>75</v>
      </c>
    </row>
    <row r="563" spans="1:37" x14ac:dyDescent="0.2">
      <c r="A563">
        <v>52</v>
      </c>
      <c r="B563" t="s">
        <v>43</v>
      </c>
      <c r="C563" t="s">
        <v>67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v>0</v>
      </c>
      <c r="AH563">
        <v>0</v>
      </c>
      <c r="AI563" t="s">
        <v>72</v>
      </c>
      <c r="AJ563" t="s">
        <v>81</v>
      </c>
      <c r="AK563" t="s">
        <v>73</v>
      </c>
    </row>
    <row r="564" spans="1:37" x14ac:dyDescent="0.2">
      <c r="A564">
        <v>33</v>
      </c>
      <c r="B564" t="s">
        <v>35</v>
      </c>
      <c r="C564" t="s">
        <v>67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v>1</v>
      </c>
      <c r="AH564">
        <v>1</v>
      </c>
      <c r="AI564" t="s">
        <v>76</v>
      </c>
      <c r="AJ564" t="s">
        <v>74</v>
      </c>
      <c r="AK564" t="s">
        <v>73</v>
      </c>
    </row>
    <row r="565" spans="1:37" x14ac:dyDescent="0.2">
      <c r="A565">
        <v>25</v>
      </c>
      <c r="B565" t="s">
        <v>43</v>
      </c>
      <c r="C565" t="s">
        <v>67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v>0</v>
      </c>
      <c r="AH565">
        <v>0</v>
      </c>
      <c r="AI565" t="s">
        <v>76</v>
      </c>
      <c r="AJ565" t="s">
        <v>79</v>
      </c>
      <c r="AK565" t="s">
        <v>70</v>
      </c>
    </row>
    <row r="566" spans="1:37" x14ac:dyDescent="0.2">
      <c r="A566">
        <v>45</v>
      </c>
      <c r="B566" t="s">
        <v>43</v>
      </c>
      <c r="C566" t="s">
        <v>67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v>0</v>
      </c>
      <c r="AH566">
        <v>0</v>
      </c>
      <c r="AI566" t="s">
        <v>72</v>
      </c>
      <c r="AJ566" t="s">
        <v>79</v>
      </c>
      <c r="AK566" t="s">
        <v>70</v>
      </c>
    </row>
    <row r="567" spans="1:37" x14ac:dyDescent="0.2">
      <c r="A567">
        <v>23</v>
      </c>
      <c r="B567" t="s">
        <v>43</v>
      </c>
      <c r="C567" t="s">
        <v>67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v>0</v>
      </c>
      <c r="AH567">
        <v>0</v>
      </c>
      <c r="AI567" t="s">
        <v>80</v>
      </c>
      <c r="AJ567" t="s">
        <v>69</v>
      </c>
      <c r="AK567" t="s">
        <v>77</v>
      </c>
    </row>
    <row r="568" spans="1:37" x14ac:dyDescent="0.2">
      <c r="A568">
        <v>47</v>
      </c>
      <c r="B568" t="s">
        <v>35</v>
      </c>
      <c r="C568" t="s">
        <v>71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v>1</v>
      </c>
      <c r="AH568">
        <v>1</v>
      </c>
      <c r="AI568" t="s">
        <v>72</v>
      </c>
      <c r="AJ568" t="s">
        <v>79</v>
      </c>
      <c r="AK568" t="s">
        <v>70</v>
      </c>
    </row>
    <row r="569" spans="1:37" x14ac:dyDescent="0.2">
      <c r="A569">
        <v>34</v>
      </c>
      <c r="B569" t="s">
        <v>43</v>
      </c>
      <c r="C569" t="s">
        <v>67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v>0</v>
      </c>
      <c r="AH569">
        <v>0</v>
      </c>
      <c r="AI569" t="s">
        <v>76</v>
      </c>
      <c r="AJ569" t="s">
        <v>79</v>
      </c>
      <c r="AK569" t="s">
        <v>70</v>
      </c>
    </row>
    <row r="570" spans="1:37" x14ac:dyDescent="0.2">
      <c r="A570">
        <v>55</v>
      </c>
      <c r="B570" t="s">
        <v>35</v>
      </c>
      <c r="C570" t="s">
        <v>67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v>1</v>
      </c>
      <c r="AH570">
        <v>1</v>
      </c>
      <c r="AI570" t="s">
        <v>78</v>
      </c>
      <c r="AJ570" t="s">
        <v>81</v>
      </c>
      <c r="AK570" t="s">
        <v>70</v>
      </c>
    </row>
    <row r="571" spans="1:37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v>0</v>
      </c>
      <c r="AH571">
        <v>0</v>
      </c>
      <c r="AI571" t="s">
        <v>68</v>
      </c>
      <c r="AJ571" t="s">
        <v>79</v>
      </c>
      <c r="AK571" t="s">
        <v>73</v>
      </c>
    </row>
    <row r="572" spans="1:37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v>0</v>
      </c>
      <c r="AH572">
        <v>0</v>
      </c>
      <c r="AI572" t="s">
        <v>72</v>
      </c>
      <c r="AJ572" t="s">
        <v>69</v>
      </c>
      <c r="AK572" t="s">
        <v>77</v>
      </c>
    </row>
    <row r="573" spans="1:37" x14ac:dyDescent="0.2">
      <c r="A573">
        <v>26</v>
      </c>
      <c r="B573" t="s">
        <v>43</v>
      </c>
      <c r="C573" t="s">
        <v>71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v>0</v>
      </c>
      <c r="AH573">
        <v>0</v>
      </c>
      <c r="AI573" t="s">
        <v>76</v>
      </c>
      <c r="AJ573" t="s">
        <v>69</v>
      </c>
      <c r="AK573" t="s">
        <v>77</v>
      </c>
    </row>
    <row r="574" spans="1:37" x14ac:dyDescent="0.2">
      <c r="A574">
        <v>29</v>
      </c>
      <c r="B574" t="s">
        <v>43</v>
      </c>
      <c r="C574" t="s">
        <v>67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v>0</v>
      </c>
      <c r="AH574">
        <v>0</v>
      </c>
      <c r="AI574" t="s">
        <v>76</v>
      </c>
      <c r="AJ574" t="s">
        <v>69</v>
      </c>
      <c r="AK574" t="s">
        <v>70</v>
      </c>
    </row>
    <row r="575" spans="1:37" x14ac:dyDescent="0.2">
      <c r="A575">
        <v>26</v>
      </c>
      <c r="B575" t="s">
        <v>35</v>
      </c>
      <c r="C575" t="s">
        <v>67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v>1</v>
      </c>
      <c r="AH575">
        <v>0</v>
      </c>
      <c r="AI575" t="s">
        <v>76</v>
      </c>
      <c r="AJ575" t="s">
        <v>69</v>
      </c>
      <c r="AK575" t="s">
        <v>77</v>
      </c>
    </row>
    <row r="576" spans="1:37" x14ac:dyDescent="0.2">
      <c r="A576">
        <v>34</v>
      </c>
      <c r="B576" t="s">
        <v>43</v>
      </c>
      <c r="C576" t="s">
        <v>67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v>0</v>
      </c>
      <c r="AH576">
        <v>0</v>
      </c>
      <c r="AI576" t="s">
        <v>76</v>
      </c>
      <c r="AJ576" t="s">
        <v>69</v>
      </c>
      <c r="AK576" t="s">
        <v>77</v>
      </c>
    </row>
    <row r="577" spans="1:37" x14ac:dyDescent="0.2">
      <c r="A577">
        <v>54</v>
      </c>
      <c r="B577" t="s">
        <v>43</v>
      </c>
      <c r="C577" t="s">
        <v>67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v>0</v>
      </c>
      <c r="AH577">
        <v>1</v>
      </c>
      <c r="AI577" t="s">
        <v>72</v>
      </c>
      <c r="AJ577" t="s">
        <v>69</v>
      </c>
      <c r="AK577" t="s">
        <v>70</v>
      </c>
    </row>
    <row r="578" spans="1:37" x14ac:dyDescent="0.2">
      <c r="A578">
        <v>27</v>
      </c>
      <c r="B578" t="s">
        <v>43</v>
      </c>
      <c r="C578" t="s">
        <v>71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v>0</v>
      </c>
      <c r="AH578">
        <v>0</v>
      </c>
      <c r="AI578" t="s">
        <v>76</v>
      </c>
      <c r="AJ578" t="s">
        <v>69</v>
      </c>
      <c r="AK578" t="s">
        <v>77</v>
      </c>
    </row>
    <row r="579" spans="1:37" x14ac:dyDescent="0.2">
      <c r="A579">
        <v>37</v>
      </c>
      <c r="B579" t="s">
        <v>43</v>
      </c>
      <c r="C579" t="s">
        <v>67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v>0</v>
      </c>
      <c r="AH579">
        <v>1</v>
      </c>
      <c r="AI579" t="s">
        <v>68</v>
      </c>
      <c r="AJ579" t="s">
        <v>74</v>
      </c>
      <c r="AK579" t="s">
        <v>70</v>
      </c>
    </row>
    <row r="580" spans="1:37" x14ac:dyDescent="0.2">
      <c r="A580">
        <v>38</v>
      </c>
      <c r="B580" t="s">
        <v>43</v>
      </c>
      <c r="C580" t="s">
        <v>71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v>0</v>
      </c>
      <c r="AH580">
        <v>1</v>
      </c>
      <c r="AI580" t="s">
        <v>68</v>
      </c>
      <c r="AJ580" t="s">
        <v>69</v>
      </c>
      <c r="AK580" t="s">
        <v>73</v>
      </c>
    </row>
    <row r="581" spans="1:37" x14ac:dyDescent="0.2">
      <c r="A581">
        <v>34</v>
      </c>
      <c r="B581" t="s">
        <v>43</v>
      </c>
      <c r="C581" t="s">
        <v>67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v>0</v>
      </c>
      <c r="AH581">
        <v>0</v>
      </c>
      <c r="AI581" t="s">
        <v>76</v>
      </c>
      <c r="AJ581" t="s">
        <v>69</v>
      </c>
      <c r="AK581" t="s">
        <v>70</v>
      </c>
    </row>
    <row r="582" spans="1:37" x14ac:dyDescent="0.2">
      <c r="A582">
        <v>35</v>
      </c>
      <c r="B582" t="s">
        <v>43</v>
      </c>
      <c r="C582" t="s">
        <v>67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v>0</v>
      </c>
      <c r="AH582">
        <v>0</v>
      </c>
      <c r="AI582" t="s">
        <v>68</v>
      </c>
      <c r="AJ582" t="s">
        <v>74</v>
      </c>
      <c r="AK582" t="s">
        <v>77</v>
      </c>
    </row>
    <row r="583" spans="1:37" x14ac:dyDescent="0.2">
      <c r="A583">
        <v>30</v>
      </c>
      <c r="B583" t="s">
        <v>43</v>
      </c>
      <c r="C583" t="s">
        <v>67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v>0</v>
      </c>
      <c r="AH583">
        <v>0</v>
      </c>
      <c r="AI583" t="s">
        <v>76</v>
      </c>
      <c r="AJ583" t="s">
        <v>69</v>
      </c>
      <c r="AK583" t="s">
        <v>77</v>
      </c>
    </row>
    <row r="584" spans="1:37" x14ac:dyDescent="0.2">
      <c r="A584">
        <v>40</v>
      </c>
      <c r="B584" t="s">
        <v>43</v>
      </c>
      <c r="C584" t="s">
        <v>71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v>0</v>
      </c>
      <c r="AH584">
        <v>0</v>
      </c>
      <c r="AI584" t="s">
        <v>68</v>
      </c>
      <c r="AJ584" t="s">
        <v>69</v>
      </c>
      <c r="AK584" t="s">
        <v>70</v>
      </c>
    </row>
    <row r="585" spans="1:37" x14ac:dyDescent="0.2">
      <c r="A585">
        <v>34</v>
      </c>
      <c r="B585" t="s">
        <v>43</v>
      </c>
      <c r="C585" t="s">
        <v>67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v>0</v>
      </c>
      <c r="AH585">
        <v>0</v>
      </c>
      <c r="AI585" t="s">
        <v>76</v>
      </c>
      <c r="AJ585" t="s">
        <v>79</v>
      </c>
      <c r="AK585" t="s">
        <v>77</v>
      </c>
    </row>
    <row r="586" spans="1:37" x14ac:dyDescent="0.2">
      <c r="A586">
        <v>42</v>
      </c>
      <c r="B586" t="s">
        <v>43</v>
      </c>
      <c r="C586" t="s">
        <v>71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v>0</v>
      </c>
      <c r="AH586">
        <v>0</v>
      </c>
      <c r="AI586" t="s">
        <v>68</v>
      </c>
      <c r="AJ586" t="s">
        <v>81</v>
      </c>
      <c r="AK586" t="s">
        <v>73</v>
      </c>
    </row>
    <row r="587" spans="1:37" x14ac:dyDescent="0.2">
      <c r="A587">
        <v>23</v>
      </c>
      <c r="B587" t="s">
        <v>35</v>
      </c>
      <c r="C587" t="s">
        <v>67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  <c r="AI587" t="s">
        <v>80</v>
      </c>
      <c r="AJ587" t="s">
        <v>74</v>
      </c>
      <c r="AK587" t="s">
        <v>75</v>
      </c>
    </row>
    <row r="588" spans="1:37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80</v>
      </c>
      <c r="AJ588" t="s">
        <v>74</v>
      </c>
      <c r="AK588" t="s">
        <v>75</v>
      </c>
    </row>
    <row r="589" spans="1:37" x14ac:dyDescent="0.2">
      <c r="A589">
        <v>52</v>
      </c>
      <c r="B589" t="s">
        <v>43</v>
      </c>
      <c r="C589" t="s">
        <v>67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v>0</v>
      </c>
      <c r="AH589">
        <v>0</v>
      </c>
      <c r="AI589" t="s">
        <v>72</v>
      </c>
      <c r="AJ589" t="s">
        <v>69</v>
      </c>
      <c r="AK589" t="s">
        <v>70</v>
      </c>
    </row>
    <row r="590" spans="1:37" x14ac:dyDescent="0.2">
      <c r="A590">
        <v>50</v>
      </c>
      <c r="B590" t="s">
        <v>43</v>
      </c>
      <c r="C590" t="s">
        <v>67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v>0</v>
      </c>
      <c r="AH590">
        <v>0</v>
      </c>
      <c r="AI590" t="s">
        <v>72</v>
      </c>
      <c r="AJ590" t="s">
        <v>81</v>
      </c>
      <c r="AK590" t="s">
        <v>77</v>
      </c>
    </row>
    <row r="591" spans="1:37" x14ac:dyDescent="0.2">
      <c r="A591">
        <v>29</v>
      </c>
      <c r="B591" t="s">
        <v>35</v>
      </c>
      <c r="C591" t="s">
        <v>67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v>1</v>
      </c>
      <c r="AH591">
        <v>1</v>
      </c>
      <c r="AI591" t="s">
        <v>76</v>
      </c>
      <c r="AJ591" t="s">
        <v>74</v>
      </c>
      <c r="AK591" t="s">
        <v>75</v>
      </c>
    </row>
    <row r="592" spans="1:37" x14ac:dyDescent="0.2">
      <c r="A592">
        <v>33</v>
      </c>
      <c r="B592" t="s">
        <v>43</v>
      </c>
      <c r="C592" t="s">
        <v>67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v>0</v>
      </c>
      <c r="AH592">
        <v>0</v>
      </c>
      <c r="AI592" t="s">
        <v>76</v>
      </c>
      <c r="AJ592" t="s">
        <v>81</v>
      </c>
      <c r="AK592" t="s">
        <v>73</v>
      </c>
    </row>
    <row r="593" spans="1:37" x14ac:dyDescent="0.2">
      <c r="A593">
        <v>33</v>
      </c>
      <c r="B593" t="s">
        <v>35</v>
      </c>
      <c r="C593" t="s">
        <v>67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v>1</v>
      </c>
      <c r="AH593">
        <v>0</v>
      </c>
      <c r="AI593" t="s">
        <v>76</v>
      </c>
      <c r="AJ593" t="s">
        <v>69</v>
      </c>
      <c r="AK593" t="s">
        <v>77</v>
      </c>
    </row>
    <row r="594" spans="1:37" x14ac:dyDescent="0.2">
      <c r="A594">
        <v>47</v>
      </c>
      <c r="B594" t="s">
        <v>43</v>
      </c>
      <c r="C594" t="s">
        <v>67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v>0</v>
      </c>
      <c r="AH594">
        <v>1</v>
      </c>
      <c r="AI594" t="s">
        <v>72</v>
      </c>
      <c r="AJ594" t="s">
        <v>81</v>
      </c>
      <c r="AK594" t="s">
        <v>73</v>
      </c>
    </row>
    <row r="595" spans="1:37" x14ac:dyDescent="0.2">
      <c r="A595">
        <v>36</v>
      </c>
      <c r="B595" t="s">
        <v>43</v>
      </c>
      <c r="C595" t="s">
        <v>67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v>0</v>
      </c>
      <c r="AH595">
        <v>0</v>
      </c>
      <c r="AI595" t="s">
        <v>68</v>
      </c>
      <c r="AJ595" t="s">
        <v>69</v>
      </c>
      <c r="AK595" t="s">
        <v>70</v>
      </c>
    </row>
    <row r="596" spans="1:37" x14ac:dyDescent="0.2">
      <c r="A596">
        <v>29</v>
      </c>
      <c r="B596" t="s">
        <v>43</v>
      </c>
      <c r="C596" t="s">
        <v>67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v>0</v>
      </c>
      <c r="AH596">
        <v>0</v>
      </c>
      <c r="AI596" t="s">
        <v>76</v>
      </c>
      <c r="AJ596" t="s">
        <v>74</v>
      </c>
      <c r="AK596" t="s">
        <v>73</v>
      </c>
    </row>
    <row r="597" spans="1:37" x14ac:dyDescent="0.2">
      <c r="A597">
        <v>58</v>
      </c>
      <c r="B597" t="s">
        <v>35</v>
      </c>
      <c r="C597" t="s">
        <v>67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v>1</v>
      </c>
      <c r="AH597">
        <v>1</v>
      </c>
      <c r="AI597" t="s">
        <v>78</v>
      </c>
      <c r="AJ597" t="s">
        <v>81</v>
      </c>
      <c r="AK597" t="s">
        <v>73</v>
      </c>
    </row>
    <row r="598" spans="1:37" x14ac:dyDescent="0.2">
      <c r="A598">
        <v>35</v>
      </c>
      <c r="B598" t="s">
        <v>43</v>
      </c>
      <c r="C598" t="s">
        <v>67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v>0</v>
      </c>
      <c r="AH598">
        <v>0</v>
      </c>
      <c r="AI598" t="s">
        <v>68</v>
      </c>
      <c r="AJ598" t="s">
        <v>74</v>
      </c>
      <c r="AK598" t="s">
        <v>77</v>
      </c>
    </row>
    <row r="599" spans="1:37" x14ac:dyDescent="0.2">
      <c r="A599">
        <v>42</v>
      </c>
      <c r="B599" t="s">
        <v>43</v>
      </c>
      <c r="C599" t="s">
        <v>67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v>0</v>
      </c>
      <c r="AH599">
        <v>1</v>
      </c>
      <c r="AI599" t="s">
        <v>68</v>
      </c>
      <c r="AJ599" t="s">
        <v>79</v>
      </c>
      <c r="AK599" t="s">
        <v>77</v>
      </c>
    </row>
    <row r="600" spans="1:37" x14ac:dyDescent="0.2">
      <c r="A600">
        <v>28</v>
      </c>
      <c r="B600" t="s">
        <v>35</v>
      </c>
      <c r="C600" t="s">
        <v>67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v>1</v>
      </c>
      <c r="AH600">
        <v>0</v>
      </c>
      <c r="AI600" t="s">
        <v>76</v>
      </c>
      <c r="AJ600" t="s">
        <v>69</v>
      </c>
      <c r="AK600" t="s">
        <v>77</v>
      </c>
    </row>
    <row r="601" spans="1:37" x14ac:dyDescent="0.2">
      <c r="A601">
        <v>36</v>
      </c>
      <c r="B601" t="s">
        <v>43</v>
      </c>
      <c r="C601" t="s">
        <v>67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v>0</v>
      </c>
      <c r="AH601">
        <v>0</v>
      </c>
      <c r="AI601" t="s">
        <v>68</v>
      </c>
      <c r="AJ601" t="s">
        <v>74</v>
      </c>
      <c r="AK601" t="s">
        <v>70</v>
      </c>
    </row>
    <row r="602" spans="1:37" x14ac:dyDescent="0.2">
      <c r="A602">
        <v>32</v>
      </c>
      <c r="B602" t="s">
        <v>43</v>
      </c>
      <c r="C602" t="s">
        <v>67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v>0</v>
      </c>
      <c r="AH602">
        <v>0</v>
      </c>
      <c r="AI602" t="s">
        <v>76</v>
      </c>
      <c r="AJ602" t="s">
        <v>79</v>
      </c>
      <c r="AK602" t="s">
        <v>73</v>
      </c>
    </row>
    <row r="603" spans="1:37" x14ac:dyDescent="0.2">
      <c r="A603">
        <v>40</v>
      </c>
      <c r="B603" t="s">
        <v>43</v>
      </c>
      <c r="C603" t="s">
        <v>71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68</v>
      </c>
      <c r="AJ603" t="s">
        <v>69</v>
      </c>
      <c r="AK603" t="s">
        <v>75</v>
      </c>
    </row>
    <row r="604" spans="1:37" x14ac:dyDescent="0.2">
      <c r="A604">
        <v>30</v>
      </c>
      <c r="B604" t="s">
        <v>43</v>
      </c>
      <c r="C604" t="s">
        <v>67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 t="s">
        <v>76</v>
      </c>
      <c r="AJ604" t="s">
        <v>79</v>
      </c>
      <c r="AK604" t="s">
        <v>75</v>
      </c>
    </row>
    <row r="605" spans="1:37" x14ac:dyDescent="0.2">
      <c r="A605">
        <v>45</v>
      </c>
      <c r="B605" t="s">
        <v>43</v>
      </c>
      <c r="C605" t="s">
        <v>67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72</v>
      </c>
      <c r="AJ605" t="s">
        <v>74</v>
      </c>
      <c r="AK605" t="s">
        <v>75</v>
      </c>
    </row>
    <row r="606" spans="1:37" x14ac:dyDescent="0.2">
      <c r="A606">
        <v>42</v>
      </c>
      <c r="B606" t="s">
        <v>43</v>
      </c>
      <c r="C606" t="s">
        <v>67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v>0</v>
      </c>
      <c r="AH606">
        <v>0</v>
      </c>
      <c r="AI606" t="s">
        <v>68</v>
      </c>
      <c r="AJ606" t="s">
        <v>69</v>
      </c>
      <c r="AK606" t="s">
        <v>70</v>
      </c>
    </row>
    <row r="607" spans="1:37" x14ac:dyDescent="0.2">
      <c r="A607">
        <v>38</v>
      </c>
      <c r="B607" t="s">
        <v>43</v>
      </c>
      <c r="C607" t="s">
        <v>71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v>0</v>
      </c>
      <c r="AH607">
        <v>0</v>
      </c>
      <c r="AI607" t="s">
        <v>68</v>
      </c>
      <c r="AJ607" t="s">
        <v>79</v>
      </c>
      <c r="AK607" t="s">
        <v>77</v>
      </c>
    </row>
    <row r="608" spans="1:37" x14ac:dyDescent="0.2">
      <c r="A608">
        <v>34</v>
      </c>
      <c r="B608" t="s">
        <v>43</v>
      </c>
      <c r="C608" t="s">
        <v>71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v>0</v>
      </c>
      <c r="AH608">
        <v>0</v>
      </c>
      <c r="AI608" t="s">
        <v>76</v>
      </c>
      <c r="AJ608" t="s">
        <v>74</v>
      </c>
      <c r="AK608" t="s">
        <v>70</v>
      </c>
    </row>
    <row r="609" spans="1:37" x14ac:dyDescent="0.2">
      <c r="A609">
        <v>49</v>
      </c>
      <c r="B609" t="s">
        <v>35</v>
      </c>
      <c r="C609" t="s">
        <v>67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v>1</v>
      </c>
      <c r="AH609">
        <v>0</v>
      </c>
      <c r="AI609" t="s">
        <v>72</v>
      </c>
      <c r="AJ609" t="s">
        <v>79</v>
      </c>
      <c r="AK609" t="s">
        <v>70</v>
      </c>
    </row>
    <row r="610" spans="1:37" x14ac:dyDescent="0.2">
      <c r="A610">
        <v>55</v>
      </c>
      <c r="B610" t="s">
        <v>35</v>
      </c>
      <c r="C610" t="s">
        <v>67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v>1</v>
      </c>
      <c r="AH610">
        <v>0</v>
      </c>
      <c r="AI610" t="s">
        <v>78</v>
      </c>
      <c r="AJ610" t="s">
        <v>69</v>
      </c>
      <c r="AK610" t="s">
        <v>70</v>
      </c>
    </row>
    <row r="611" spans="1:37" x14ac:dyDescent="0.2">
      <c r="A611">
        <v>43</v>
      </c>
      <c r="B611" t="s">
        <v>43</v>
      </c>
      <c r="C611" t="s">
        <v>67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v>0</v>
      </c>
      <c r="AH611">
        <v>0</v>
      </c>
      <c r="AI611" t="s">
        <v>68</v>
      </c>
      <c r="AJ611" t="s">
        <v>81</v>
      </c>
      <c r="AK611" t="s">
        <v>77</v>
      </c>
    </row>
    <row r="612" spans="1:37" x14ac:dyDescent="0.2">
      <c r="A612">
        <v>27</v>
      </c>
      <c r="B612" t="s">
        <v>43</v>
      </c>
      <c r="C612" t="s">
        <v>67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v>0</v>
      </c>
      <c r="AH612">
        <v>1</v>
      </c>
      <c r="AI612" t="s">
        <v>76</v>
      </c>
      <c r="AJ612" t="s">
        <v>81</v>
      </c>
      <c r="AK612" t="s">
        <v>70</v>
      </c>
    </row>
    <row r="613" spans="1:37" x14ac:dyDescent="0.2">
      <c r="A613">
        <v>35</v>
      </c>
      <c r="B613" t="s">
        <v>43</v>
      </c>
      <c r="C613" t="s">
        <v>67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v>0</v>
      </c>
      <c r="AH613">
        <v>0</v>
      </c>
      <c r="AI613" t="s">
        <v>68</v>
      </c>
      <c r="AJ613" t="s">
        <v>81</v>
      </c>
      <c r="AK613" t="s">
        <v>70</v>
      </c>
    </row>
    <row r="614" spans="1:37" x14ac:dyDescent="0.2">
      <c r="A614">
        <v>28</v>
      </c>
      <c r="B614" t="s">
        <v>43</v>
      </c>
      <c r="C614" t="s">
        <v>67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v>0</v>
      </c>
      <c r="AH614">
        <v>1</v>
      </c>
      <c r="AI614" t="s">
        <v>76</v>
      </c>
      <c r="AJ614" t="s">
        <v>69</v>
      </c>
      <c r="AK614" t="s">
        <v>70</v>
      </c>
    </row>
    <row r="615" spans="1:37" x14ac:dyDescent="0.2">
      <c r="A615">
        <v>34</v>
      </c>
      <c r="B615" t="s">
        <v>43</v>
      </c>
      <c r="C615" t="s">
        <v>67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v>0</v>
      </c>
      <c r="AH615">
        <v>0</v>
      </c>
      <c r="AI615" t="s">
        <v>76</v>
      </c>
      <c r="AJ615" t="s">
        <v>69</v>
      </c>
      <c r="AK615" t="s">
        <v>77</v>
      </c>
    </row>
    <row r="616" spans="1:37" x14ac:dyDescent="0.2">
      <c r="A616">
        <v>26</v>
      </c>
      <c r="B616" t="s">
        <v>35</v>
      </c>
      <c r="C616" t="s">
        <v>71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v>1</v>
      </c>
      <c r="AH616">
        <v>1</v>
      </c>
      <c r="AI616" t="s">
        <v>76</v>
      </c>
      <c r="AJ616" t="s">
        <v>74</v>
      </c>
      <c r="AK616" t="s">
        <v>70</v>
      </c>
    </row>
    <row r="617" spans="1:37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76</v>
      </c>
      <c r="AJ617" t="s">
        <v>74</v>
      </c>
      <c r="AK617" t="s">
        <v>75</v>
      </c>
    </row>
    <row r="618" spans="1:37" x14ac:dyDescent="0.2">
      <c r="A618">
        <v>51</v>
      </c>
      <c r="B618" t="s">
        <v>43</v>
      </c>
      <c r="C618" t="s">
        <v>67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v>0</v>
      </c>
      <c r="AH618">
        <v>0</v>
      </c>
      <c r="AI618" t="s">
        <v>72</v>
      </c>
      <c r="AJ618" t="s">
        <v>81</v>
      </c>
      <c r="AK618" t="s">
        <v>73</v>
      </c>
    </row>
    <row r="619" spans="1:37" x14ac:dyDescent="0.2">
      <c r="A619">
        <v>44</v>
      </c>
      <c r="B619" t="s">
        <v>43</v>
      </c>
      <c r="C619" t="s">
        <v>67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v>0</v>
      </c>
      <c r="AH619">
        <v>0</v>
      </c>
      <c r="AI619" t="s">
        <v>68</v>
      </c>
      <c r="AJ619" t="s">
        <v>69</v>
      </c>
      <c r="AK619" t="s">
        <v>70</v>
      </c>
    </row>
    <row r="620" spans="1:37" x14ac:dyDescent="0.2">
      <c r="A620">
        <v>25</v>
      </c>
      <c r="B620" t="s">
        <v>43</v>
      </c>
      <c r="C620" t="s">
        <v>67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v>0</v>
      </c>
      <c r="AH620">
        <v>0</v>
      </c>
      <c r="AI620" t="s">
        <v>76</v>
      </c>
      <c r="AJ620" t="s">
        <v>69</v>
      </c>
      <c r="AK620" t="s">
        <v>77</v>
      </c>
    </row>
    <row r="621" spans="1:37" x14ac:dyDescent="0.2">
      <c r="A621">
        <v>33</v>
      </c>
      <c r="B621" t="s">
        <v>43</v>
      </c>
      <c r="C621" t="s">
        <v>67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v>0</v>
      </c>
      <c r="AH621">
        <v>0</v>
      </c>
      <c r="AI621" t="s">
        <v>76</v>
      </c>
      <c r="AJ621" t="s">
        <v>69</v>
      </c>
      <c r="AK621" t="s">
        <v>70</v>
      </c>
    </row>
    <row r="622" spans="1:37" x14ac:dyDescent="0.2">
      <c r="A622">
        <v>35</v>
      </c>
      <c r="B622" t="s">
        <v>43</v>
      </c>
      <c r="C622" t="s">
        <v>67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v>0</v>
      </c>
      <c r="AH622">
        <v>0</v>
      </c>
      <c r="AI622" t="s">
        <v>68</v>
      </c>
      <c r="AJ622" t="s">
        <v>74</v>
      </c>
      <c r="AK622" t="s">
        <v>70</v>
      </c>
    </row>
    <row r="623" spans="1:37" x14ac:dyDescent="0.2">
      <c r="A623">
        <v>36</v>
      </c>
      <c r="B623" t="s">
        <v>43</v>
      </c>
      <c r="C623" t="s">
        <v>67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v>0</v>
      </c>
      <c r="AH623">
        <v>1</v>
      </c>
      <c r="AI623" t="s">
        <v>68</v>
      </c>
      <c r="AJ623" t="s">
        <v>79</v>
      </c>
      <c r="AK623" t="s">
        <v>73</v>
      </c>
    </row>
    <row r="624" spans="1:37" x14ac:dyDescent="0.2">
      <c r="A624">
        <v>32</v>
      </c>
      <c r="B624" t="s">
        <v>43</v>
      </c>
      <c r="C624" t="s">
        <v>67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v>0</v>
      </c>
      <c r="AH624">
        <v>0</v>
      </c>
      <c r="AI624" t="s">
        <v>76</v>
      </c>
      <c r="AJ624" t="s">
        <v>69</v>
      </c>
      <c r="AK624" t="s">
        <v>70</v>
      </c>
    </row>
    <row r="625" spans="1:37" x14ac:dyDescent="0.2">
      <c r="A625">
        <v>30</v>
      </c>
      <c r="B625" t="s">
        <v>43</v>
      </c>
      <c r="C625" t="s">
        <v>71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v>0</v>
      </c>
      <c r="AH625">
        <v>0</v>
      </c>
      <c r="AI625" t="s">
        <v>76</v>
      </c>
      <c r="AJ625" t="s">
        <v>69</v>
      </c>
      <c r="AK625" t="s">
        <v>70</v>
      </c>
    </row>
    <row r="626" spans="1:37" x14ac:dyDescent="0.2">
      <c r="A626">
        <v>53</v>
      </c>
      <c r="B626" t="s">
        <v>43</v>
      </c>
      <c r="C626" t="s">
        <v>67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v>0</v>
      </c>
      <c r="AH626">
        <v>1</v>
      </c>
      <c r="AI626" t="s">
        <v>72</v>
      </c>
      <c r="AJ626" t="s">
        <v>81</v>
      </c>
      <c r="AK626" t="s">
        <v>70</v>
      </c>
    </row>
    <row r="627" spans="1:37" x14ac:dyDescent="0.2">
      <c r="A627">
        <v>45</v>
      </c>
      <c r="B627" t="s">
        <v>43</v>
      </c>
      <c r="C627" t="s">
        <v>67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v>0</v>
      </c>
      <c r="AH627">
        <v>1</v>
      </c>
      <c r="AI627" t="s">
        <v>72</v>
      </c>
      <c r="AJ627" t="s">
        <v>81</v>
      </c>
      <c r="AK627" t="s">
        <v>70</v>
      </c>
    </row>
    <row r="628" spans="1:37" x14ac:dyDescent="0.2">
      <c r="A628">
        <v>32</v>
      </c>
      <c r="B628" t="s">
        <v>43</v>
      </c>
      <c r="C628" t="s">
        <v>67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v>0</v>
      </c>
      <c r="AH628">
        <v>0</v>
      </c>
      <c r="AI628" t="s">
        <v>76</v>
      </c>
      <c r="AJ628" t="s">
        <v>69</v>
      </c>
      <c r="AK628" t="s">
        <v>70</v>
      </c>
    </row>
    <row r="629" spans="1:37" x14ac:dyDescent="0.2">
      <c r="A629">
        <v>52</v>
      </c>
      <c r="B629" t="s">
        <v>43</v>
      </c>
      <c r="C629" t="s">
        <v>71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v>0</v>
      </c>
      <c r="AH629">
        <v>0</v>
      </c>
      <c r="AI629" t="s">
        <v>72</v>
      </c>
      <c r="AJ629" t="s">
        <v>81</v>
      </c>
      <c r="AK629" t="s">
        <v>70</v>
      </c>
    </row>
    <row r="630" spans="1:37" x14ac:dyDescent="0.2">
      <c r="A630">
        <v>37</v>
      </c>
      <c r="B630" t="s">
        <v>43</v>
      </c>
      <c r="C630" t="s">
        <v>67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68</v>
      </c>
      <c r="AJ630" t="s">
        <v>79</v>
      </c>
      <c r="AK630" t="s">
        <v>75</v>
      </c>
    </row>
    <row r="631" spans="1:37" x14ac:dyDescent="0.2">
      <c r="A631">
        <v>28</v>
      </c>
      <c r="B631" t="s">
        <v>43</v>
      </c>
      <c r="C631" t="s">
        <v>67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v>0</v>
      </c>
      <c r="AH631">
        <v>0</v>
      </c>
      <c r="AI631" t="s">
        <v>76</v>
      </c>
      <c r="AJ631" t="s">
        <v>69</v>
      </c>
      <c r="AK631" t="s">
        <v>70</v>
      </c>
    </row>
    <row r="632" spans="1:37" x14ac:dyDescent="0.2">
      <c r="A632">
        <v>22</v>
      </c>
      <c r="B632" t="s">
        <v>43</v>
      </c>
      <c r="C632" t="s">
        <v>67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v>0</v>
      </c>
      <c r="AH632">
        <v>0</v>
      </c>
      <c r="AI632" t="s">
        <v>80</v>
      </c>
      <c r="AJ632" t="s">
        <v>69</v>
      </c>
      <c r="AK632" t="s">
        <v>77</v>
      </c>
    </row>
    <row r="633" spans="1:37" x14ac:dyDescent="0.2">
      <c r="A633">
        <v>44</v>
      </c>
      <c r="B633" t="s">
        <v>43</v>
      </c>
      <c r="C633" t="s">
        <v>67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v>0</v>
      </c>
      <c r="AH633">
        <v>1</v>
      </c>
      <c r="AI633" t="s">
        <v>68</v>
      </c>
      <c r="AJ633" t="s">
        <v>74</v>
      </c>
      <c r="AK633" t="s">
        <v>77</v>
      </c>
    </row>
    <row r="634" spans="1:37" x14ac:dyDescent="0.2">
      <c r="A634">
        <v>42</v>
      </c>
      <c r="B634" t="s">
        <v>43</v>
      </c>
      <c r="C634" t="s">
        <v>71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v>0</v>
      </c>
      <c r="AH634">
        <v>1</v>
      </c>
      <c r="AI634" t="s">
        <v>68</v>
      </c>
      <c r="AJ634" t="s">
        <v>74</v>
      </c>
      <c r="AK634" t="s">
        <v>77</v>
      </c>
    </row>
    <row r="635" spans="1:37" x14ac:dyDescent="0.2">
      <c r="A635">
        <v>36</v>
      </c>
      <c r="B635" t="s">
        <v>43</v>
      </c>
      <c r="C635" t="s">
        <v>67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v>0</v>
      </c>
      <c r="AH635">
        <v>0</v>
      </c>
      <c r="AI635" t="s">
        <v>68</v>
      </c>
      <c r="AJ635" t="s">
        <v>74</v>
      </c>
      <c r="AK635" t="s">
        <v>70</v>
      </c>
    </row>
    <row r="636" spans="1:37" x14ac:dyDescent="0.2">
      <c r="A636">
        <v>25</v>
      </c>
      <c r="B636" t="s">
        <v>43</v>
      </c>
      <c r="C636" t="s">
        <v>67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v>0</v>
      </c>
      <c r="AH636">
        <v>1</v>
      </c>
      <c r="AI636" t="s">
        <v>76</v>
      </c>
      <c r="AJ636" t="s">
        <v>69</v>
      </c>
      <c r="AK636" t="s">
        <v>70</v>
      </c>
    </row>
    <row r="637" spans="1:37" x14ac:dyDescent="0.2">
      <c r="A637">
        <v>35</v>
      </c>
      <c r="B637" t="s">
        <v>43</v>
      </c>
      <c r="C637" t="s">
        <v>67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v>0</v>
      </c>
      <c r="AH637">
        <v>1</v>
      </c>
      <c r="AI637" t="s">
        <v>68</v>
      </c>
      <c r="AJ637" t="s">
        <v>81</v>
      </c>
      <c r="AK637" t="s">
        <v>73</v>
      </c>
    </row>
    <row r="638" spans="1:37" x14ac:dyDescent="0.2">
      <c r="A638">
        <v>35</v>
      </c>
      <c r="B638" t="s">
        <v>35</v>
      </c>
      <c r="C638" t="s">
        <v>71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v>1</v>
      </c>
      <c r="AH638">
        <v>1</v>
      </c>
      <c r="AI638" t="s">
        <v>68</v>
      </c>
      <c r="AJ638" t="s">
        <v>74</v>
      </c>
      <c r="AK638" t="s">
        <v>73</v>
      </c>
    </row>
    <row r="639" spans="1:37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v>0</v>
      </c>
      <c r="AH639">
        <v>0</v>
      </c>
      <c r="AI639" t="s">
        <v>76</v>
      </c>
      <c r="AJ639" t="s">
        <v>74</v>
      </c>
      <c r="AK639" t="s">
        <v>77</v>
      </c>
    </row>
    <row r="640" spans="1:37" x14ac:dyDescent="0.2">
      <c r="A640">
        <v>25</v>
      </c>
      <c r="B640" t="s">
        <v>43</v>
      </c>
      <c r="C640" t="s">
        <v>67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v>0</v>
      </c>
      <c r="AH640">
        <v>0</v>
      </c>
      <c r="AI640" t="s">
        <v>76</v>
      </c>
      <c r="AJ640" t="s">
        <v>69</v>
      </c>
      <c r="AK640" t="s">
        <v>70</v>
      </c>
    </row>
    <row r="641" spans="1:37" x14ac:dyDescent="0.2">
      <c r="A641">
        <v>49</v>
      </c>
      <c r="B641" t="s">
        <v>43</v>
      </c>
      <c r="C641" t="s">
        <v>67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v>0</v>
      </c>
      <c r="AH641">
        <v>0</v>
      </c>
      <c r="AI641" t="s">
        <v>72</v>
      </c>
      <c r="AJ641" t="s">
        <v>69</v>
      </c>
      <c r="AK641" t="s">
        <v>77</v>
      </c>
    </row>
    <row r="642" spans="1:37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v>0</v>
      </c>
      <c r="AH642">
        <v>0</v>
      </c>
      <c r="AI642" t="s">
        <v>80</v>
      </c>
      <c r="AJ642" t="s">
        <v>69</v>
      </c>
      <c r="AK642" t="s">
        <v>70</v>
      </c>
    </row>
    <row r="643" spans="1:37" x14ac:dyDescent="0.2">
      <c r="A643">
        <v>32</v>
      </c>
      <c r="B643" t="s">
        <v>43</v>
      </c>
      <c r="C643" t="s">
        <v>71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v>0</v>
      </c>
      <c r="AH643">
        <v>0</v>
      </c>
      <c r="AI643" t="s">
        <v>76</v>
      </c>
      <c r="AJ643" t="s">
        <v>79</v>
      </c>
      <c r="AK643" t="s">
        <v>73</v>
      </c>
    </row>
    <row r="644" spans="1:37" x14ac:dyDescent="0.2">
      <c r="A644">
        <v>38</v>
      </c>
      <c r="B644" t="s">
        <v>43</v>
      </c>
      <c r="C644" t="s">
        <v>67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v>0</v>
      </c>
      <c r="AH644">
        <v>0</v>
      </c>
      <c r="AI644" t="s">
        <v>68</v>
      </c>
      <c r="AJ644" t="s">
        <v>74</v>
      </c>
      <c r="AK644" t="s">
        <v>77</v>
      </c>
    </row>
    <row r="645" spans="1:37" x14ac:dyDescent="0.2">
      <c r="A645">
        <v>42</v>
      </c>
      <c r="B645" t="s">
        <v>43</v>
      </c>
      <c r="C645" t="s">
        <v>67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v>0</v>
      </c>
      <c r="AH645">
        <v>1</v>
      </c>
      <c r="AI645" t="s">
        <v>68</v>
      </c>
      <c r="AJ645" t="s">
        <v>69</v>
      </c>
      <c r="AK645" t="s">
        <v>70</v>
      </c>
    </row>
    <row r="646" spans="1:37" x14ac:dyDescent="0.2">
      <c r="A646">
        <v>31</v>
      </c>
      <c r="B646" t="s">
        <v>43</v>
      </c>
      <c r="C646" t="s">
        <v>67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v>0</v>
      </c>
      <c r="AH646">
        <v>1</v>
      </c>
      <c r="AI646" t="s">
        <v>76</v>
      </c>
      <c r="AJ646" t="s">
        <v>74</v>
      </c>
      <c r="AK646" t="s">
        <v>70</v>
      </c>
    </row>
    <row r="647" spans="1:37" x14ac:dyDescent="0.2">
      <c r="A647">
        <v>29</v>
      </c>
      <c r="B647" t="s">
        <v>35</v>
      </c>
      <c r="C647" t="s">
        <v>67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v>1</v>
      </c>
      <c r="AH647">
        <v>1</v>
      </c>
      <c r="AI647" t="s">
        <v>76</v>
      </c>
      <c r="AJ647" t="s">
        <v>74</v>
      </c>
      <c r="AK647" t="s">
        <v>77</v>
      </c>
    </row>
    <row r="648" spans="1:37" x14ac:dyDescent="0.2">
      <c r="A648">
        <v>53</v>
      </c>
      <c r="B648" t="s">
        <v>43</v>
      </c>
      <c r="C648" t="s">
        <v>67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v>0</v>
      </c>
      <c r="AH648">
        <v>0</v>
      </c>
      <c r="AI648" t="s">
        <v>72</v>
      </c>
      <c r="AJ648" t="s">
        <v>81</v>
      </c>
      <c r="AK648" t="s">
        <v>77</v>
      </c>
    </row>
    <row r="649" spans="1:37" x14ac:dyDescent="0.2">
      <c r="A649">
        <v>35</v>
      </c>
      <c r="B649" t="s">
        <v>43</v>
      </c>
      <c r="C649" t="s">
        <v>67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v>0</v>
      </c>
      <c r="AH649">
        <v>0</v>
      </c>
      <c r="AI649" t="s">
        <v>68</v>
      </c>
      <c r="AJ649" t="s">
        <v>81</v>
      </c>
      <c r="AK649" t="s">
        <v>73</v>
      </c>
    </row>
    <row r="650" spans="1:37" x14ac:dyDescent="0.2">
      <c r="A650">
        <v>37</v>
      </c>
      <c r="B650" t="s">
        <v>43</v>
      </c>
      <c r="C650" t="s">
        <v>71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v>0</v>
      </c>
      <c r="AH650">
        <v>0</v>
      </c>
      <c r="AI650" t="s">
        <v>68</v>
      </c>
      <c r="AJ650" t="s">
        <v>74</v>
      </c>
      <c r="AK650" t="s">
        <v>70</v>
      </c>
    </row>
    <row r="651" spans="1:37" x14ac:dyDescent="0.2">
      <c r="A651">
        <v>53</v>
      </c>
      <c r="B651" t="s">
        <v>43</v>
      </c>
      <c r="C651" t="s">
        <v>67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v>0</v>
      </c>
      <c r="AH651">
        <v>0</v>
      </c>
      <c r="AI651" t="s">
        <v>72</v>
      </c>
      <c r="AJ651" t="s">
        <v>81</v>
      </c>
      <c r="AK651" t="s">
        <v>73</v>
      </c>
    </row>
    <row r="652" spans="1:37" x14ac:dyDescent="0.2">
      <c r="A652">
        <v>43</v>
      </c>
      <c r="B652" t="s">
        <v>43</v>
      </c>
      <c r="C652" t="s">
        <v>71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v>0</v>
      </c>
      <c r="AH652">
        <v>0</v>
      </c>
      <c r="AI652" t="s">
        <v>68</v>
      </c>
      <c r="AJ652" t="s">
        <v>69</v>
      </c>
      <c r="AK652" t="s">
        <v>70</v>
      </c>
    </row>
    <row r="653" spans="1:37" x14ac:dyDescent="0.2">
      <c r="A653">
        <v>47</v>
      </c>
      <c r="B653" t="s">
        <v>43</v>
      </c>
      <c r="C653" t="s">
        <v>67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v>0</v>
      </c>
      <c r="AH653">
        <v>1</v>
      </c>
      <c r="AI653" t="s">
        <v>72</v>
      </c>
      <c r="AJ653" t="s">
        <v>69</v>
      </c>
      <c r="AK653" t="s">
        <v>70</v>
      </c>
    </row>
    <row r="654" spans="1:37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v>0</v>
      </c>
      <c r="AH654">
        <v>1</v>
      </c>
      <c r="AI654" t="s">
        <v>68</v>
      </c>
      <c r="AJ654" t="s">
        <v>79</v>
      </c>
      <c r="AK654" t="s">
        <v>73</v>
      </c>
    </row>
    <row r="655" spans="1:37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v>0</v>
      </c>
      <c r="AH655">
        <v>0</v>
      </c>
      <c r="AI655" t="s">
        <v>72</v>
      </c>
      <c r="AJ655" t="s">
        <v>81</v>
      </c>
      <c r="AK655" t="s">
        <v>73</v>
      </c>
    </row>
    <row r="656" spans="1:37" x14ac:dyDescent="0.2">
      <c r="A656">
        <v>39</v>
      </c>
      <c r="B656" t="s">
        <v>43</v>
      </c>
      <c r="C656" t="s">
        <v>67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v>0</v>
      </c>
      <c r="AH656">
        <v>0</v>
      </c>
      <c r="AI656" t="s">
        <v>68</v>
      </c>
      <c r="AJ656" t="s">
        <v>69</v>
      </c>
      <c r="AK656" t="s">
        <v>70</v>
      </c>
    </row>
    <row r="657" spans="1:37" x14ac:dyDescent="0.2">
      <c r="A657">
        <v>33</v>
      </c>
      <c r="B657" t="s">
        <v>43</v>
      </c>
      <c r="C657" t="s">
        <v>67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v>0</v>
      </c>
      <c r="AH657">
        <v>1</v>
      </c>
      <c r="AI657" t="s">
        <v>76</v>
      </c>
      <c r="AJ657" t="s">
        <v>74</v>
      </c>
      <c r="AK657" t="s">
        <v>77</v>
      </c>
    </row>
    <row r="658" spans="1:37" x14ac:dyDescent="0.2">
      <c r="A658">
        <v>32</v>
      </c>
      <c r="B658" t="s">
        <v>35</v>
      </c>
      <c r="C658" t="s">
        <v>67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v>1</v>
      </c>
      <c r="AH658">
        <v>1</v>
      </c>
      <c r="AI658" t="s">
        <v>76</v>
      </c>
      <c r="AJ658" t="s">
        <v>74</v>
      </c>
      <c r="AK658" t="s">
        <v>75</v>
      </c>
    </row>
    <row r="659" spans="1:37" x14ac:dyDescent="0.2">
      <c r="A659">
        <v>29</v>
      </c>
      <c r="B659" t="s">
        <v>43</v>
      </c>
      <c r="C659" t="s">
        <v>67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v>0</v>
      </c>
      <c r="AH659">
        <v>0</v>
      </c>
      <c r="AI659" t="s">
        <v>76</v>
      </c>
      <c r="AJ659" t="s">
        <v>74</v>
      </c>
      <c r="AK659" t="s">
        <v>77</v>
      </c>
    </row>
    <row r="660" spans="1:37" x14ac:dyDescent="0.2">
      <c r="A660">
        <v>44</v>
      </c>
      <c r="B660" t="s">
        <v>43</v>
      </c>
      <c r="C660" t="s">
        <v>67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v>0</v>
      </c>
      <c r="AH660">
        <v>1</v>
      </c>
      <c r="AI660" t="s">
        <v>68</v>
      </c>
      <c r="AJ660" t="s">
        <v>74</v>
      </c>
      <c r="AK660" t="s">
        <v>70</v>
      </c>
    </row>
    <row r="661" spans="1:37" x14ac:dyDescent="0.2">
      <c r="A661">
        <v>28</v>
      </c>
      <c r="B661" t="s">
        <v>43</v>
      </c>
      <c r="C661" t="s">
        <v>67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v>0</v>
      </c>
      <c r="AH661">
        <v>0</v>
      </c>
      <c r="AI661" t="s">
        <v>76</v>
      </c>
      <c r="AJ661" t="s">
        <v>69</v>
      </c>
      <c r="AK661" t="s">
        <v>77</v>
      </c>
    </row>
    <row r="662" spans="1:37" x14ac:dyDescent="0.2">
      <c r="A662">
        <v>58</v>
      </c>
      <c r="B662" t="s">
        <v>35</v>
      </c>
      <c r="C662" t="s">
        <v>71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v>1</v>
      </c>
      <c r="AH662">
        <v>1</v>
      </c>
      <c r="AI662" t="s">
        <v>78</v>
      </c>
      <c r="AJ662" t="s">
        <v>74</v>
      </c>
      <c r="AK662" t="s">
        <v>75</v>
      </c>
    </row>
    <row r="663" spans="1:37" x14ac:dyDescent="0.2">
      <c r="A663">
        <v>43</v>
      </c>
      <c r="B663" t="s">
        <v>43</v>
      </c>
      <c r="C663" t="s">
        <v>67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68</v>
      </c>
      <c r="AJ663" t="s">
        <v>69</v>
      </c>
      <c r="AK663" t="s">
        <v>75</v>
      </c>
    </row>
    <row r="664" spans="1:37" x14ac:dyDescent="0.2">
      <c r="A664">
        <v>20</v>
      </c>
      <c r="B664" t="s">
        <v>35</v>
      </c>
      <c r="C664" t="s">
        <v>67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v>1</v>
      </c>
      <c r="AH664">
        <v>0</v>
      </c>
      <c r="AI664" t="s">
        <v>80</v>
      </c>
      <c r="AJ664" t="s">
        <v>74</v>
      </c>
      <c r="AK664" t="s">
        <v>77</v>
      </c>
    </row>
    <row r="665" spans="1:37" x14ac:dyDescent="0.2">
      <c r="A665">
        <v>21</v>
      </c>
      <c r="B665" t="s">
        <v>35</v>
      </c>
      <c r="C665" t="s">
        <v>67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0</v>
      </c>
      <c r="AI665" t="s">
        <v>80</v>
      </c>
      <c r="AJ665" t="s">
        <v>74</v>
      </c>
      <c r="AK665" t="s">
        <v>75</v>
      </c>
    </row>
    <row r="666" spans="1:37" x14ac:dyDescent="0.2">
      <c r="A666">
        <v>36</v>
      </c>
      <c r="B666" t="s">
        <v>43</v>
      </c>
      <c r="C666" t="s">
        <v>67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v>0</v>
      </c>
      <c r="AH666">
        <v>1</v>
      </c>
      <c r="AI666" t="s">
        <v>68</v>
      </c>
      <c r="AJ666" t="s">
        <v>79</v>
      </c>
      <c r="AK666" t="s">
        <v>73</v>
      </c>
    </row>
    <row r="667" spans="1:37" x14ac:dyDescent="0.2">
      <c r="A667">
        <v>47</v>
      </c>
      <c r="B667" t="s">
        <v>43</v>
      </c>
      <c r="C667" t="s">
        <v>67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v>0</v>
      </c>
      <c r="AH667">
        <v>1</v>
      </c>
      <c r="AI667" t="s">
        <v>72</v>
      </c>
      <c r="AJ667" t="s">
        <v>69</v>
      </c>
      <c r="AK667" t="s">
        <v>77</v>
      </c>
    </row>
    <row r="668" spans="1:37" x14ac:dyDescent="0.2">
      <c r="A668">
        <v>22</v>
      </c>
      <c r="B668" t="s">
        <v>35</v>
      </c>
      <c r="C668" t="s">
        <v>67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v>1</v>
      </c>
      <c r="AH668">
        <v>1</v>
      </c>
      <c r="AI668" t="s">
        <v>80</v>
      </c>
      <c r="AJ668" t="s">
        <v>69</v>
      </c>
      <c r="AK668" t="s">
        <v>77</v>
      </c>
    </row>
    <row r="669" spans="1:37" x14ac:dyDescent="0.2">
      <c r="A669">
        <v>41</v>
      </c>
      <c r="B669" t="s">
        <v>35</v>
      </c>
      <c r="C669" t="s">
        <v>67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v>1</v>
      </c>
      <c r="AH669">
        <v>1</v>
      </c>
      <c r="AI669" t="s">
        <v>68</v>
      </c>
      <c r="AJ669" t="s">
        <v>74</v>
      </c>
      <c r="AK669" t="s">
        <v>70</v>
      </c>
    </row>
    <row r="670" spans="1:37" x14ac:dyDescent="0.2">
      <c r="A670">
        <v>28</v>
      </c>
      <c r="B670" t="s">
        <v>43</v>
      </c>
      <c r="C670" t="s">
        <v>67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v>0</v>
      </c>
      <c r="AH670">
        <v>0</v>
      </c>
      <c r="AI670" t="s">
        <v>76</v>
      </c>
      <c r="AJ670" t="s">
        <v>74</v>
      </c>
      <c r="AK670" t="s">
        <v>77</v>
      </c>
    </row>
    <row r="671" spans="1:37" x14ac:dyDescent="0.2">
      <c r="A671">
        <v>39</v>
      </c>
      <c r="B671" t="s">
        <v>35</v>
      </c>
      <c r="C671" t="s">
        <v>67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v>1</v>
      </c>
      <c r="AH671">
        <v>1</v>
      </c>
      <c r="AI671" t="s">
        <v>68</v>
      </c>
      <c r="AJ671" t="s">
        <v>74</v>
      </c>
      <c r="AK671" t="s">
        <v>77</v>
      </c>
    </row>
    <row r="672" spans="1:37" x14ac:dyDescent="0.2">
      <c r="A672">
        <v>27</v>
      </c>
      <c r="B672" t="s">
        <v>43</v>
      </c>
      <c r="C672" t="s">
        <v>67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 t="s">
        <v>76</v>
      </c>
      <c r="AJ672" t="s">
        <v>74</v>
      </c>
      <c r="AK672" t="s">
        <v>75</v>
      </c>
    </row>
    <row r="673" spans="1:37" x14ac:dyDescent="0.2">
      <c r="A673">
        <v>34</v>
      </c>
      <c r="B673" t="s">
        <v>43</v>
      </c>
      <c r="C673" t="s">
        <v>67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v>0</v>
      </c>
      <c r="AH673">
        <v>0</v>
      </c>
      <c r="AI673" t="s">
        <v>76</v>
      </c>
      <c r="AJ673" t="s">
        <v>74</v>
      </c>
      <c r="AK673" t="s">
        <v>75</v>
      </c>
    </row>
    <row r="674" spans="1:37" x14ac:dyDescent="0.2">
      <c r="A674">
        <v>42</v>
      </c>
      <c r="B674" t="s">
        <v>43</v>
      </c>
      <c r="C674" t="s">
        <v>67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v>0</v>
      </c>
      <c r="AH674">
        <v>0</v>
      </c>
      <c r="AI674" t="s">
        <v>68</v>
      </c>
      <c r="AJ674" t="s">
        <v>79</v>
      </c>
      <c r="AK674" t="s">
        <v>70</v>
      </c>
    </row>
    <row r="675" spans="1:37" x14ac:dyDescent="0.2">
      <c r="A675">
        <v>33</v>
      </c>
      <c r="B675" t="s">
        <v>43</v>
      </c>
      <c r="C675" t="s">
        <v>67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v>0</v>
      </c>
      <c r="AH675">
        <v>1</v>
      </c>
      <c r="AI675" t="s">
        <v>76</v>
      </c>
      <c r="AJ675" t="s">
        <v>74</v>
      </c>
      <c r="AK675" t="s">
        <v>77</v>
      </c>
    </row>
    <row r="676" spans="1:37" x14ac:dyDescent="0.2">
      <c r="A676">
        <v>58</v>
      </c>
      <c r="B676" t="s">
        <v>43</v>
      </c>
      <c r="C676" t="s">
        <v>67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v>0</v>
      </c>
      <c r="AH676">
        <v>1</v>
      </c>
      <c r="AI676" t="s">
        <v>78</v>
      </c>
      <c r="AJ676" t="s">
        <v>81</v>
      </c>
      <c r="AK676" t="s">
        <v>70</v>
      </c>
    </row>
    <row r="677" spans="1:37" x14ac:dyDescent="0.2">
      <c r="A677">
        <v>31</v>
      </c>
      <c r="B677" t="s">
        <v>43</v>
      </c>
      <c r="C677" t="s">
        <v>67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v>0</v>
      </c>
      <c r="AH677">
        <v>0</v>
      </c>
      <c r="AI677" t="s">
        <v>76</v>
      </c>
      <c r="AJ677" t="s">
        <v>74</v>
      </c>
      <c r="AK677" t="s">
        <v>70</v>
      </c>
    </row>
    <row r="678" spans="1:37" x14ac:dyDescent="0.2">
      <c r="A678">
        <v>35</v>
      </c>
      <c r="B678" t="s">
        <v>43</v>
      </c>
      <c r="C678" t="s">
        <v>67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v>0</v>
      </c>
      <c r="AH678">
        <v>1</v>
      </c>
      <c r="AI678" t="s">
        <v>68</v>
      </c>
      <c r="AJ678" t="s">
        <v>69</v>
      </c>
      <c r="AK678" t="s">
        <v>73</v>
      </c>
    </row>
    <row r="679" spans="1:37" x14ac:dyDescent="0.2">
      <c r="A679">
        <v>49</v>
      </c>
      <c r="B679" t="s">
        <v>43</v>
      </c>
      <c r="C679" t="s">
        <v>67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v>0</v>
      </c>
      <c r="AH679">
        <v>0</v>
      </c>
      <c r="AI679" t="s">
        <v>72</v>
      </c>
      <c r="AJ679" t="s">
        <v>79</v>
      </c>
      <c r="AK679" t="s">
        <v>73</v>
      </c>
    </row>
    <row r="680" spans="1:37" x14ac:dyDescent="0.2">
      <c r="A680">
        <v>48</v>
      </c>
      <c r="B680" t="s">
        <v>43</v>
      </c>
      <c r="C680" t="s">
        <v>67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72</v>
      </c>
      <c r="AJ680" t="s">
        <v>74</v>
      </c>
      <c r="AK680" t="s">
        <v>75</v>
      </c>
    </row>
    <row r="681" spans="1:37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v>0</v>
      </c>
      <c r="AH681">
        <v>0</v>
      </c>
      <c r="AI681" t="s">
        <v>76</v>
      </c>
      <c r="AJ681" t="s">
        <v>79</v>
      </c>
      <c r="AK681" t="s">
        <v>70</v>
      </c>
    </row>
    <row r="682" spans="1:37" x14ac:dyDescent="0.2">
      <c r="A682">
        <v>36</v>
      </c>
      <c r="B682" t="s">
        <v>43</v>
      </c>
      <c r="C682" t="s">
        <v>67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v>0</v>
      </c>
      <c r="AH682">
        <v>0</v>
      </c>
      <c r="AI682" t="s">
        <v>68</v>
      </c>
      <c r="AJ682" t="s">
        <v>69</v>
      </c>
      <c r="AK682" t="s">
        <v>70</v>
      </c>
    </row>
    <row r="683" spans="1:37" x14ac:dyDescent="0.2">
      <c r="A683">
        <v>38</v>
      </c>
      <c r="B683" t="s">
        <v>43</v>
      </c>
      <c r="C683" t="s">
        <v>67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v>0</v>
      </c>
      <c r="AH683">
        <v>0</v>
      </c>
      <c r="AI683" t="s">
        <v>68</v>
      </c>
      <c r="AJ683" t="s">
        <v>81</v>
      </c>
      <c r="AK683" t="s">
        <v>73</v>
      </c>
    </row>
    <row r="684" spans="1:37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v>0</v>
      </c>
      <c r="AH684">
        <v>0</v>
      </c>
      <c r="AI684" t="s">
        <v>76</v>
      </c>
      <c r="AJ684" t="s">
        <v>74</v>
      </c>
      <c r="AK684" t="s">
        <v>77</v>
      </c>
    </row>
    <row r="685" spans="1:37" x14ac:dyDescent="0.2">
      <c r="A685">
        <v>25</v>
      </c>
      <c r="B685" t="s">
        <v>35</v>
      </c>
      <c r="C685" t="s">
        <v>67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v>1</v>
      </c>
      <c r="AH685">
        <v>1</v>
      </c>
      <c r="AI685" t="s">
        <v>76</v>
      </c>
      <c r="AJ685" t="s">
        <v>74</v>
      </c>
      <c r="AK685" t="s">
        <v>75</v>
      </c>
    </row>
    <row r="686" spans="1:37" x14ac:dyDescent="0.2">
      <c r="A686">
        <v>40</v>
      </c>
      <c r="B686" t="s">
        <v>43</v>
      </c>
      <c r="C686" t="s">
        <v>67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68</v>
      </c>
      <c r="AJ686" t="s">
        <v>79</v>
      </c>
      <c r="AK686" t="s">
        <v>75</v>
      </c>
    </row>
    <row r="687" spans="1:37" x14ac:dyDescent="0.2">
      <c r="A687">
        <v>26</v>
      </c>
      <c r="B687" t="s">
        <v>43</v>
      </c>
      <c r="C687" t="s">
        <v>71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v>0</v>
      </c>
      <c r="AH687">
        <v>0</v>
      </c>
      <c r="AI687" t="s">
        <v>76</v>
      </c>
      <c r="AJ687" t="s">
        <v>69</v>
      </c>
      <c r="AK687" t="s">
        <v>70</v>
      </c>
    </row>
    <row r="688" spans="1:37" x14ac:dyDescent="0.2">
      <c r="A688">
        <v>41</v>
      </c>
      <c r="B688" t="s">
        <v>43</v>
      </c>
      <c r="C688" t="s">
        <v>67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v>0</v>
      </c>
      <c r="AH688">
        <v>1</v>
      </c>
      <c r="AI688" t="s">
        <v>68</v>
      </c>
      <c r="AJ688" t="s">
        <v>69</v>
      </c>
      <c r="AK688" t="s">
        <v>73</v>
      </c>
    </row>
    <row r="689" spans="1:37" x14ac:dyDescent="0.2">
      <c r="A689">
        <v>36</v>
      </c>
      <c r="B689" t="s">
        <v>43</v>
      </c>
      <c r="C689" t="s">
        <v>67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v>0</v>
      </c>
      <c r="AH689">
        <v>0</v>
      </c>
      <c r="AI689" t="s">
        <v>68</v>
      </c>
      <c r="AJ689" t="s">
        <v>74</v>
      </c>
      <c r="AK689" t="s">
        <v>73</v>
      </c>
    </row>
    <row r="690" spans="1:37" x14ac:dyDescent="0.2">
      <c r="A690">
        <v>19</v>
      </c>
      <c r="B690" t="s">
        <v>35</v>
      </c>
      <c r="C690" t="s">
        <v>67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1</v>
      </c>
      <c r="AI690" t="s">
        <v>80</v>
      </c>
      <c r="AJ690" t="s">
        <v>74</v>
      </c>
      <c r="AK690" t="s">
        <v>75</v>
      </c>
    </row>
    <row r="691" spans="1:37" x14ac:dyDescent="0.2">
      <c r="A691">
        <v>20</v>
      </c>
      <c r="B691" t="s">
        <v>35</v>
      </c>
      <c r="C691" t="s">
        <v>67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0</v>
      </c>
      <c r="AI691" t="s">
        <v>80</v>
      </c>
      <c r="AJ691" t="s">
        <v>74</v>
      </c>
      <c r="AK691" t="s">
        <v>75</v>
      </c>
    </row>
    <row r="692" spans="1:37" x14ac:dyDescent="0.2">
      <c r="A692">
        <v>31</v>
      </c>
      <c r="B692" t="s">
        <v>43</v>
      </c>
      <c r="C692" t="s">
        <v>67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v>0</v>
      </c>
      <c r="AH692">
        <v>1</v>
      </c>
      <c r="AI692" t="s">
        <v>76</v>
      </c>
      <c r="AJ692" t="s">
        <v>69</v>
      </c>
      <c r="AK692" t="s">
        <v>70</v>
      </c>
    </row>
    <row r="693" spans="1:37" x14ac:dyDescent="0.2">
      <c r="A693">
        <v>40</v>
      </c>
      <c r="B693" t="s">
        <v>43</v>
      </c>
      <c r="C693" t="s">
        <v>71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1</v>
      </c>
      <c r="AI693" t="s">
        <v>68</v>
      </c>
      <c r="AJ693" t="s">
        <v>69</v>
      </c>
      <c r="AK693" t="s">
        <v>75</v>
      </c>
    </row>
    <row r="694" spans="1:37" x14ac:dyDescent="0.2">
      <c r="A694">
        <v>32</v>
      </c>
      <c r="B694" t="s">
        <v>43</v>
      </c>
      <c r="C694" t="s">
        <v>67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v>0</v>
      </c>
      <c r="AH694">
        <v>0</v>
      </c>
      <c r="AI694" t="s">
        <v>76</v>
      </c>
      <c r="AJ694" t="s">
        <v>79</v>
      </c>
      <c r="AK694" t="s">
        <v>70</v>
      </c>
    </row>
    <row r="695" spans="1:37" x14ac:dyDescent="0.2">
      <c r="A695">
        <v>36</v>
      </c>
      <c r="B695" t="s">
        <v>35</v>
      </c>
      <c r="C695" t="s">
        <v>67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v>1</v>
      </c>
      <c r="AH695">
        <v>1</v>
      </c>
      <c r="AI695" t="s">
        <v>68</v>
      </c>
      <c r="AJ695" t="s">
        <v>81</v>
      </c>
      <c r="AK695" t="s">
        <v>73</v>
      </c>
    </row>
    <row r="696" spans="1:37" x14ac:dyDescent="0.2">
      <c r="A696">
        <v>33</v>
      </c>
      <c r="B696" t="s">
        <v>43</v>
      </c>
      <c r="C696" t="s">
        <v>67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v>0</v>
      </c>
      <c r="AH696">
        <v>0</v>
      </c>
      <c r="AI696" t="s">
        <v>76</v>
      </c>
      <c r="AJ696" t="s">
        <v>79</v>
      </c>
      <c r="AK696" t="s">
        <v>70</v>
      </c>
    </row>
    <row r="697" spans="1:37" x14ac:dyDescent="0.2">
      <c r="A697">
        <v>37</v>
      </c>
      <c r="B697" t="s">
        <v>35</v>
      </c>
      <c r="C697" t="s">
        <v>67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v>1</v>
      </c>
      <c r="AH697">
        <v>0</v>
      </c>
      <c r="AI697" t="s">
        <v>68</v>
      </c>
      <c r="AJ697" t="s">
        <v>81</v>
      </c>
      <c r="AK697" t="s">
        <v>73</v>
      </c>
    </row>
    <row r="698" spans="1:37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v>0</v>
      </c>
      <c r="AH698">
        <v>0</v>
      </c>
      <c r="AI698" t="s">
        <v>72</v>
      </c>
      <c r="AJ698" t="s">
        <v>69</v>
      </c>
      <c r="AK698" t="s">
        <v>70</v>
      </c>
    </row>
    <row r="699" spans="1:37" x14ac:dyDescent="0.2">
      <c r="A699">
        <v>29</v>
      </c>
      <c r="B699" t="s">
        <v>43</v>
      </c>
      <c r="C699" t="s">
        <v>71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v>0</v>
      </c>
      <c r="AH699">
        <v>0</v>
      </c>
      <c r="AI699" t="s">
        <v>76</v>
      </c>
      <c r="AJ699" t="s">
        <v>74</v>
      </c>
      <c r="AK699" t="s">
        <v>77</v>
      </c>
    </row>
    <row r="700" spans="1:37" x14ac:dyDescent="0.2">
      <c r="A700">
        <v>35</v>
      </c>
      <c r="B700" t="s">
        <v>43</v>
      </c>
      <c r="C700" t="s">
        <v>67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v>0</v>
      </c>
      <c r="AH700">
        <v>0</v>
      </c>
      <c r="AI700" t="s">
        <v>68</v>
      </c>
      <c r="AJ700" t="s">
        <v>69</v>
      </c>
      <c r="AK700" t="s">
        <v>70</v>
      </c>
    </row>
    <row r="701" spans="1:37" x14ac:dyDescent="0.2">
      <c r="A701">
        <v>52</v>
      </c>
      <c r="B701" t="s">
        <v>43</v>
      </c>
      <c r="C701" t="s">
        <v>67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v>0</v>
      </c>
      <c r="AH701">
        <v>0</v>
      </c>
      <c r="AI701" t="s">
        <v>72</v>
      </c>
      <c r="AJ701" t="s">
        <v>81</v>
      </c>
      <c r="AK701" t="s">
        <v>70</v>
      </c>
    </row>
    <row r="702" spans="1:37" x14ac:dyDescent="0.2">
      <c r="A702">
        <v>58</v>
      </c>
      <c r="B702" t="s">
        <v>35</v>
      </c>
      <c r="C702" t="s">
        <v>67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v>1</v>
      </c>
      <c r="AH702">
        <v>0</v>
      </c>
      <c r="AI702" t="s">
        <v>78</v>
      </c>
      <c r="AJ702" t="s">
        <v>74</v>
      </c>
      <c r="AK702" t="s">
        <v>75</v>
      </c>
    </row>
    <row r="703" spans="1:37" x14ac:dyDescent="0.2">
      <c r="A703">
        <v>53</v>
      </c>
      <c r="B703" t="s">
        <v>43</v>
      </c>
      <c r="C703" t="s">
        <v>67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v>0</v>
      </c>
      <c r="AH703">
        <v>0</v>
      </c>
      <c r="AI703" t="s">
        <v>72</v>
      </c>
      <c r="AJ703" t="s">
        <v>81</v>
      </c>
      <c r="AK703" t="s">
        <v>73</v>
      </c>
    </row>
    <row r="704" spans="1:37" x14ac:dyDescent="0.2">
      <c r="A704">
        <v>30</v>
      </c>
      <c r="B704" t="s">
        <v>43</v>
      </c>
      <c r="C704" t="s">
        <v>67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v>0</v>
      </c>
      <c r="AH704">
        <v>0</v>
      </c>
      <c r="AI704" t="s">
        <v>76</v>
      </c>
      <c r="AJ704" t="s">
        <v>79</v>
      </c>
      <c r="AK704" t="s">
        <v>70</v>
      </c>
    </row>
    <row r="705" spans="1:37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v>0</v>
      </c>
      <c r="AH705">
        <v>1</v>
      </c>
      <c r="AI705" t="s">
        <v>68</v>
      </c>
      <c r="AJ705" t="s">
        <v>69</v>
      </c>
      <c r="AK705" t="s">
        <v>70</v>
      </c>
    </row>
    <row r="706" spans="1:37" x14ac:dyDescent="0.2">
      <c r="A706">
        <v>35</v>
      </c>
      <c r="B706" t="s">
        <v>43</v>
      </c>
      <c r="C706" t="s">
        <v>67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v>0</v>
      </c>
      <c r="AH706">
        <v>0</v>
      </c>
      <c r="AI706" t="s">
        <v>68</v>
      </c>
      <c r="AJ706" t="s">
        <v>79</v>
      </c>
      <c r="AK706" t="s">
        <v>73</v>
      </c>
    </row>
    <row r="707" spans="1:37" x14ac:dyDescent="0.2">
      <c r="A707">
        <v>39</v>
      </c>
      <c r="B707" t="s">
        <v>43</v>
      </c>
      <c r="C707" t="s">
        <v>67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v>0</v>
      </c>
      <c r="AH707">
        <v>0</v>
      </c>
      <c r="AI707" t="s">
        <v>68</v>
      </c>
      <c r="AJ707" t="s">
        <v>79</v>
      </c>
      <c r="AK707" t="s">
        <v>70</v>
      </c>
    </row>
    <row r="708" spans="1:37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v>1</v>
      </c>
      <c r="AH708">
        <v>1</v>
      </c>
      <c r="AI708" t="s">
        <v>68</v>
      </c>
      <c r="AJ708" t="s">
        <v>81</v>
      </c>
      <c r="AK708" t="s">
        <v>75</v>
      </c>
    </row>
    <row r="709" spans="1:37" x14ac:dyDescent="0.2">
      <c r="A709">
        <v>47</v>
      </c>
      <c r="B709" t="s">
        <v>43</v>
      </c>
      <c r="C709" t="s">
        <v>71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v>0</v>
      </c>
      <c r="AH709">
        <v>1</v>
      </c>
      <c r="AI709" t="s">
        <v>72</v>
      </c>
      <c r="AJ709" t="s">
        <v>69</v>
      </c>
      <c r="AK709" t="s">
        <v>73</v>
      </c>
    </row>
    <row r="710" spans="1:37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v>0</v>
      </c>
      <c r="AH710">
        <v>0</v>
      </c>
      <c r="AI710" t="s">
        <v>68</v>
      </c>
      <c r="AJ710" t="s">
        <v>69</v>
      </c>
      <c r="AK710" t="s">
        <v>70</v>
      </c>
    </row>
    <row r="711" spans="1:37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v>1</v>
      </c>
      <c r="AH711">
        <v>1</v>
      </c>
      <c r="AI711" t="s">
        <v>76</v>
      </c>
      <c r="AJ711" t="s">
        <v>74</v>
      </c>
      <c r="AK711" t="s">
        <v>77</v>
      </c>
    </row>
    <row r="712" spans="1:37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v>0</v>
      </c>
      <c r="AH712">
        <v>0</v>
      </c>
      <c r="AI712" t="s">
        <v>76</v>
      </c>
      <c r="AJ712" t="s">
        <v>81</v>
      </c>
      <c r="AK712" t="s">
        <v>73</v>
      </c>
    </row>
    <row r="713" spans="1:37" x14ac:dyDescent="0.2">
      <c r="A713">
        <v>29</v>
      </c>
      <c r="B713" t="s">
        <v>35</v>
      </c>
      <c r="C713" t="s">
        <v>67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 t="s">
        <v>76</v>
      </c>
      <c r="AJ713" t="s">
        <v>74</v>
      </c>
      <c r="AK713" t="s">
        <v>75</v>
      </c>
    </row>
    <row r="714" spans="1:37" x14ac:dyDescent="0.2">
      <c r="A714">
        <v>33</v>
      </c>
      <c r="B714" t="s">
        <v>43</v>
      </c>
      <c r="C714" t="s">
        <v>67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v>0</v>
      </c>
      <c r="AH714">
        <v>0</v>
      </c>
      <c r="AI714" t="s">
        <v>76</v>
      </c>
      <c r="AJ714" t="s">
        <v>69</v>
      </c>
      <c r="AK714" t="s">
        <v>77</v>
      </c>
    </row>
    <row r="715" spans="1:37" x14ac:dyDescent="0.2">
      <c r="A715">
        <v>45</v>
      </c>
      <c r="B715" t="s">
        <v>43</v>
      </c>
      <c r="C715" t="s">
        <v>67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v>0</v>
      </c>
      <c r="AH715">
        <v>0</v>
      </c>
      <c r="AI715" t="s">
        <v>72</v>
      </c>
      <c r="AJ715" t="s">
        <v>74</v>
      </c>
      <c r="AK715" t="s">
        <v>70</v>
      </c>
    </row>
    <row r="716" spans="1:37" x14ac:dyDescent="0.2">
      <c r="A716">
        <v>50</v>
      </c>
      <c r="B716" t="s">
        <v>43</v>
      </c>
      <c r="C716" t="s">
        <v>67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v>0</v>
      </c>
      <c r="AH716">
        <v>0</v>
      </c>
      <c r="AI716" t="s">
        <v>72</v>
      </c>
      <c r="AJ716" t="s">
        <v>81</v>
      </c>
      <c r="AK716" t="s">
        <v>70</v>
      </c>
    </row>
    <row r="717" spans="1:37" x14ac:dyDescent="0.2">
      <c r="A717">
        <v>33</v>
      </c>
      <c r="B717" t="s">
        <v>43</v>
      </c>
      <c r="C717" t="s">
        <v>71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v>0</v>
      </c>
      <c r="AH717">
        <v>1</v>
      </c>
      <c r="AI717" t="s">
        <v>76</v>
      </c>
      <c r="AJ717" t="s">
        <v>69</v>
      </c>
      <c r="AK717" t="s">
        <v>70</v>
      </c>
    </row>
    <row r="718" spans="1:37" x14ac:dyDescent="0.2">
      <c r="A718">
        <v>41</v>
      </c>
      <c r="B718" t="s">
        <v>43</v>
      </c>
      <c r="C718" t="s">
        <v>71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v>0</v>
      </c>
      <c r="AH718">
        <v>0</v>
      </c>
      <c r="AI718" t="s">
        <v>68</v>
      </c>
      <c r="AJ718" t="s">
        <v>81</v>
      </c>
      <c r="AK718" t="s">
        <v>73</v>
      </c>
    </row>
    <row r="719" spans="1:37" x14ac:dyDescent="0.2">
      <c r="A719">
        <v>27</v>
      </c>
      <c r="B719" t="s">
        <v>43</v>
      </c>
      <c r="C719" t="s">
        <v>67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v>0</v>
      </c>
      <c r="AH719">
        <v>0</v>
      </c>
      <c r="AI719" t="s">
        <v>76</v>
      </c>
      <c r="AJ719" t="s">
        <v>74</v>
      </c>
      <c r="AK719" t="s">
        <v>77</v>
      </c>
    </row>
    <row r="720" spans="1:37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v>0</v>
      </c>
      <c r="AH720">
        <v>1</v>
      </c>
      <c r="AI720" t="s">
        <v>72</v>
      </c>
      <c r="AJ720" t="s">
        <v>69</v>
      </c>
      <c r="AK720" t="s">
        <v>70</v>
      </c>
    </row>
    <row r="721" spans="1:37" x14ac:dyDescent="0.2">
      <c r="A721">
        <v>47</v>
      </c>
      <c r="B721" t="s">
        <v>43</v>
      </c>
      <c r="C721" t="s">
        <v>67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v>0</v>
      </c>
      <c r="AH721">
        <v>1</v>
      </c>
      <c r="AI721" t="s">
        <v>72</v>
      </c>
      <c r="AJ721" t="s">
        <v>69</v>
      </c>
      <c r="AK721" t="s">
        <v>70</v>
      </c>
    </row>
    <row r="722" spans="1:37" x14ac:dyDescent="0.2">
      <c r="A722">
        <v>30</v>
      </c>
      <c r="B722" t="s">
        <v>35</v>
      </c>
      <c r="C722" t="s">
        <v>67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v>1</v>
      </c>
      <c r="AH722">
        <v>1</v>
      </c>
      <c r="AI722" t="s">
        <v>76</v>
      </c>
      <c r="AJ722" t="s">
        <v>74</v>
      </c>
      <c r="AK722" t="s">
        <v>70</v>
      </c>
    </row>
    <row r="723" spans="1:37" x14ac:dyDescent="0.2">
      <c r="A723">
        <v>50</v>
      </c>
      <c r="B723" t="s">
        <v>43</v>
      </c>
      <c r="C723" t="s">
        <v>67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v>0</v>
      </c>
      <c r="AH723">
        <v>1</v>
      </c>
      <c r="AI723" t="s">
        <v>72</v>
      </c>
      <c r="AJ723" t="s">
        <v>81</v>
      </c>
      <c r="AK723" t="s">
        <v>73</v>
      </c>
    </row>
    <row r="724" spans="1:37" x14ac:dyDescent="0.2">
      <c r="A724">
        <v>38</v>
      </c>
      <c r="B724" t="s">
        <v>43</v>
      </c>
      <c r="C724" t="s">
        <v>71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v>0</v>
      </c>
      <c r="AH724">
        <v>0</v>
      </c>
      <c r="AI724" t="s">
        <v>68</v>
      </c>
      <c r="AJ724" t="s">
        <v>74</v>
      </c>
      <c r="AK724" t="s">
        <v>77</v>
      </c>
    </row>
    <row r="725" spans="1:37" x14ac:dyDescent="0.2">
      <c r="A725">
        <v>46</v>
      </c>
      <c r="B725" t="s">
        <v>43</v>
      </c>
      <c r="C725" t="s">
        <v>67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v>0</v>
      </c>
      <c r="AH725">
        <v>0</v>
      </c>
      <c r="AI725" t="s">
        <v>72</v>
      </c>
      <c r="AJ725" t="s">
        <v>81</v>
      </c>
      <c r="AK725" t="s">
        <v>70</v>
      </c>
    </row>
    <row r="726" spans="1:37" x14ac:dyDescent="0.2">
      <c r="A726">
        <v>24</v>
      </c>
      <c r="B726" t="s">
        <v>43</v>
      </c>
      <c r="C726" t="s">
        <v>67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v>0</v>
      </c>
      <c r="AH726">
        <v>0</v>
      </c>
      <c r="AI726" t="s">
        <v>80</v>
      </c>
      <c r="AJ726" t="s">
        <v>69</v>
      </c>
      <c r="AK726" t="s">
        <v>77</v>
      </c>
    </row>
    <row r="727" spans="1:37" x14ac:dyDescent="0.2">
      <c r="A727">
        <v>35</v>
      </c>
      <c r="B727" t="s">
        <v>35</v>
      </c>
      <c r="C727" t="s">
        <v>67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v>1</v>
      </c>
      <c r="AH727">
        <v>1</v>
      </c>
      <c r="AI727" t="s">
        <v>68</v>
      </c>
      <c r="AJ727" t="s">
        <v>69</v>
      </c>
      <c r="AK727" t="s">
        <v>77</v>
      </c>
    </row>
    <row r="728" spans="1:37" x14ac:dyDescent="0.2">
      <c r="A728">
        <v>31</v>
      </c>
      <c r="B728" t="s">
        <v>43</v>
      </c>
      <c r="C728" t="s">
        <v>71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v>0</v>
      </c>
      <c r="AH728">
        <v>0</v>
      </c>
      <c r="AI728" t="s">
        <v>76</v>
      </c>
      <c r="AJ728" t="s">
        <v>69</v>
      </c>
      <c r="AK728" t="s">
        <v>77</v>
      </c>
    </row>
    <row r="729" spans="1:37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80</v>
      </c>
      <c r="AJ729" t="s">
        <v>74</v>
      </c>
      <c r="AK729" t="s">
        <v>75</v>
      </c>
    </row>
    <row r="730" spans="1:37" x14ac:dyDescent="0.2">
      <c r="A730">
        <v>54</v>
      </c>
      <c r="B730" t="s">
        <v>43</v>
      </c>
      <c r="C730" t="s">
        <v>67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v>0</v>
      </c>
      <c r="AH730">
        <v>0</v>
      </c>
      <c r="AI730" t="s">
        <v>72</v>
      </c>
      <c r="AJ730" t="s">
        <v>81</v>
      </c>
      <c r="AK730" t="s">
        <v>73</v>
      </c>
    </row>
    <row r="731" spans="1:37" x14ac:dyDescent="0.2">
      <c r="A731">
        <v>35</v>
      </c>
      <c r="B731" t="s">
        <v>43</v>
      </c>
      <c r="C731" t="s">
        <v>67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v>0</v>
      </c>
      <c r="AH731">
        <v>1</v>
      </c>
      <c r="AI731" t="s">
        <v>68</v>
      </c>
      <c r="AJ731" t="s">
        <v>81</v>
      </c>
      <c r="AK731" t="s">
        <v>73</v>
      </c>
    </row>
    <row r="732" spans="1:37" x14ac:dyDescent="0.2">
      <c r="A732">
        <v>30</v>
      </c>
      <c r="B732" t="s">
        <v>43</v>
      </c>
      <c r="C732" t="s">
        <v>67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v>0</v>
      </c>
      <c r="AH732">
        <v>1</v>
      </c>
      <c r="AI732" t="s">
        <v>76</v>
      </c>
      <c r="AJ732" t="s">
        <v>81</v>
      </c>
      <c r="AK732" t="s">
        <v>70</v>
      </c>
    </row>
    <row r="733" spans="1:37" x14ac:dyDescent="0.2">
      <c r="A733">
        <v>20</v>
      </c>
      <c r="B733" t="s">
        <v>35</v>
      </c>
      <c r="C733" t="s">
        <v>67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v>1</v>
      </c>
      <c r="AH733">
        <v>1</v>
      </c>
      <c r="AI733" t="s">
        <v>80</v>
      </c>
      <c r="AJ733" t="s">
        <v>74</v>
      </c>
      <c r="AK733" t="s">
        <v>75</v>
      </c>
    </row>
    <row r="734" spans="1:37" x14ac:dyDescent="0.2">
      <c r="A734">
        <v>30</v>
      </c>
      <c r="B734" t="s">
        <v>35</v>
      </c>
      <c r="C734" t="s">
        <v>71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v>1</v>
      </c>
      <c r="AH734">
        <v>0</v>
      </c>
      <c r="AI734" t="s">
        <v>76</v>
      </c>
      <c r="AJ734" t="s">
        <v>74</v>
      </c>
      <c r="AK734" t="s">
        <v>77</v>
      </c>
    </row>
    <row r="735" spans="1:37" x14ac:dyDescent="0.2">
      <c r="A735">
        <v>26</v>
      </c>
      <c r="B735" t="s">
        <v>43</v>
      </c>
      <c r="C735" t="s">
        <v>67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v>0</v>
      </c>
      <c r="AH735">
        <v>0</v>
      </c>
      <c r="AI735" t="s">
        <v>76</v>
      </c>
      <c r="AJ735" t="s">
        <v>69</v>
      </c>
      <c r="AK735" t="s">
        <v>70</v>
      </c>
    </row>
    <row r="736" spans="1:37" x14ac:dyDescent="0.2">
      <c r="A736">
        <v>22</v>
      </c>
      <c r="B736" t="s">
        <v>43</v>
      </c>
      <c r="C736" t="s">
        <v>67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v>0</v>
      </c>
      <c r="AH736">
        <v>0</v>
      </c>
      <c r="AI736" t="s">
        <v>80</v>
      </c>
      <c r="AJ736" t="s">
        <v>74</v>
      </c>
      <c r="AK736" t="s">
        <v>77</v>
      </c>
    </row>
    <row r="737" spans="1:37" x14ac:dyDescent="0.2">
      <c r="A737">
        <v>48</v>
      </c>
      <c r="B737" t="s">
        <v>43</v>
      </c>
      <c r="C737" t="s">
        <v>67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v>0</v>
      </c>
      <c r="AH737">
        <v>0</v>
      </c>
      <c r="AI737" t="s">
        <v>72</v>
      </c>
      <c r="AJ737" t="s">
        <v>69</v>
      </c>
      <c r="AK737" t="s">
        <v>77</v>
      </c>
    </row>
    <row r="738" spans="1:37" x14ac:dyDescent="0.2">
      <c r="A738">
        <v>48</v>
      </c>
      <c r="B738" t="s">
        <v>43</v>
      </c>
      <c r="C738" t="s">
        <v>67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v>0</v>
      </c>
      <c r="AH738">
        <v>0</v>
      </c>
      <c r="AI738" t="s">
        <v>72</v>
      </c>
      <c r="AJ738" t="s">
        <v>81</v>
      </c>
      <c r="AK738" t="s">
        <v>73</v>
      </c>
    </row>
    <row r="739" spans="1:37" x14ac:dyDescent="0.2">
      <c r="A739">
        <v>41</v>
      </c>
      <c r="B739" t="s">
        <v>43</v>
      </c>
      <c r="C739" t="s">
        <v>67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v>0</v>
      </c>
      <c r="AH739">
        <v>0</v>
      </c>
      <c r="AI739" t="s">
        <v>68</v>
      </c>
      <c r="AJ739" t="s">
        <v>69</v>
      </c>
      <c r="AK739" t="s">
        <v>77</v>
      </c>
    </row>
    <row r="740" spans="1:37" x14ac:dyDescent="0.2">
      <c r="A740">
        <v>39</v>
      </c>
      <c r="B740" t="s">
        <v>43</v>
      </c>
      <c r="C740" t="s">
        <v>67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v>0</v>
      </c>
      <c r="AH740">
        <v>0</v>
      </c>
      <c r="AI740" t="s">
        <v>68</v>
      </c>
      <c r="AJ740" t="s">
        <v>81</v>
      </c>
      <c r="AK740" t="s">
        <v>73</v>
      </c>
    </row>
    <row r="741" spans="1:37" x14ac:dyDescent="0.2">
      <c r="A741">
        <v>27</v>
      </c>
      <c r="B741" t="s">
        <v>43</v>
      </c>
      <c r="C741" t="s">
        <v>67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v>0</v>
      </c>
      <c r="AH741">
        <v>0</v>
      </c>
      <c r="AI741" t="s">
        <v>76</v>
      </c>
      <c r="AJ741" t="s">
        <v>69</v>
      </c>
      <c r="AK741" t="s">
        <v>77</v>
      </c>
    </row>
    <row r="742" spans="1:37" x14ac:dyDescent="0.2">
      <c r="A742">
        <v>35</v>
      </c>
      <c r="B742" t="s">
        <v>43</v>
      </c>
      <c r="C742" t="s">
        <v>67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v>0</v>
      </c>
      <c r="AH742">
        <v>0</v>
      </c>
      <c r="AI742" t="s">
        <v>68</v>
      </c>
      <c r="AJ742" t="s">
        <v>69</v>
      </c>
      <c r="AK742" t="s">
        <v>77</v>
      </c>
    </row>
    <row r="743" spans="1:37" x14ac:dyDescent="0.2">
      <c r="A743">
        <v>42</v>
      </c>
      <c r="B743" t="s">
        <v>43</v>
      </c>
      <c r="C743" t="s">
        <v>67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68</v>
      </c>
      <c r="AJ743" t="s">
        <v>81</v>
      </c>
      <c r="AK743" t="s">
        <v>75</v>
      </c>
    </row>
    <row r="744" spans="1:37" x14ac:dyDescent="0.2">
      <c r="A744">
        <v>50</v>
      </c>
      <c r="B744" t="s">
        <v>43</v>
      </c>
      <c r="C744" t="s">
        <v>67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72</v>
      </c>
      <c r="AJ744" t="s">
        <v>74</v>
      </c>
      <c r="AK744" t="s">
        <v>75</v>
      </c>
    </row>
    <row r="745" spans="1:37" x14ac:dyDescent="0.2">
      <c r="A745">
        <v>59</v>
      </c>
      <c r="B745" t="s">
        <v>43</v>
      </c>
      <c r="C745" t="s">
        <v>67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v>0</v>
      </c>
      <c r="AH745">
        <v>1</v>
      </c>
      <c r="AI745" t="s">
        <v>78</v>
      </c>
      <c r="AJ745" t="s">
        <v>81</v>
      </c>
      <c r="AK745" t="s">
        <v>70</v>
      </c>
    </row>
    <row r="746" spans="1:37" x14ac:dyDescent="0.2">
      <c r="A746">
        <v>37</v>
      </c>
      <c r="B746" t="s">
        <v>35</v>
      </c>
      <c r="C746" t="s">
        <v>67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0</v>
      </c>
      <c r="AI746" t="s">
        <v>68</v>
      </c>
      <c r="AJ746" t="s">
        <v>69</v>
      </c>
      <c r="AK746" t="s">
        <v>75</v>
      </c>
    </row>
    <row r="747" spans="1:37" x14ac:dyDescent="0.2">
      <c r="A747">
        <v>55</v>
      </c>
      <c r="B747" t="s">
        <v>43</v>
      </c>
      <c r="C747" t="s">
        <v>71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v>0</v>
      </c>
      <c r="AH747">
        <v>1</v>
      </c>
      <c r="AI747" t="s">
        <v>78</v>
      </c>
      <c r="AJ747" t="s">
        <v>79</v>
      </c>
      <c r="AK747" t="s">
        <v>70</v>
      </c>
    </row>
    <row r="748" spans="1:37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v>0</v>
      </c>
      <c r="AH748">
        <v>0</v>
      </c>
      <c r="AI748" t="s">
        <v>68</v>
      </c>
      <c r="AJ748" t="s">
        <v>81</v>
      </c>
      <c r="AK748" t="s">
        <v>73</v>
      </c>
    </row>
    <row r="749" spans="1:37" x14ac:dyDescent="0.2">
      <c r="A749">
        <v>38</v>
      </c>
      <c r="B749" t="s">
        <v>43</v>
      </c>
      <c r="C749" t="s">
        <v>67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1</v>
      </c>
      <c r="AI749" t="s">
        <v>68</v>
      </c>
      <c r="AJ749" t="s">
        <v>79</v>
      </c>
      <c r="AK749" t="s">
        <v>75</v>
      </c>
    </row>
    <row r="750" spans="1:37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v>1</v>
      </c>
      <c r="AH750">
        <v>0</v>
      </c>
      <c r="AI750" t="s">
        <v>76</v>
      </c>
      <c r="AJ750" t="s">
        <v>69</v>
      </c>
      <c r="AK750" t="s">
        <v>77</v>
      </c>
    </row>
    <row r="751" spans="1:37" x14ac:dyDescent="0.2">
      <c r="A751">
        <v>52</v>
      </c>
      <c r="B751" t="s">
        <v>35</v>
      </c>
      <c r="C751" t="s">
        <v>67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v>1</v>
      </c>
      <c r="AH751">
        <v>0</v>
      </c>
      <c r="AI751" t="s">
        <v>72</v>
      </c>
      <c r="AJ751" t="s">
        <v>81</v>
      </c>
      <c r="AK751" t="s">
        <v>73</v>
      </c>
    </row>
    <row r="752" spans="1:37" x14ac:dyDescent="0.2">
      <c r="A752">
        <v>44</v>
      </c>
      <c r="B752" t="s">
        <v>43</v>
      </c>
      <c r="C752" t="s">
        <v>67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v>0</v>
      </c>
      <c r="AH752">
        <v>1</v>
      </c>
      <c r="AI752" t="s">
        <v>68</v>
      </c>
      <c r="AJ752" t="s">
        <v>81</v>
      </c>
      <c r="AK752" t="s">
        <v>73</v>
      </c>
    </row>
    <row r="753" spans="1:37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v>0</v>
      </c>
      <c r="AH753">
        <v>0</v>
      </c>
      <c r="AI753" t="s">
        <v>72</v>
      </c>
      <c r="AJ753" t="s">
        <v>79</v>
      </c>
      <c r="AK753" t="s">
        <v>73</v>
      </c>
    </row>
    <row r="754" spans="1:37" x14ac:dyDescent="0.2">
      <c r="A754">
        <v>36</v>
      </c>
      <c r="B754" t="s">
        <v>35</v>
      </c>
      <c r="C754" t="s">
        <v>67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v>1</v>
      </c>
      <c r="AH754">
        <v>0</v>
      </c>
      <c r="AI754" t="s">
        <v>68</v>
      </c>
      <c r="AJ754" t="s">
        <v>74</v>
      </c>
      <c r="AK754" t="s">
        <v>73</v>
      </c>
    </row>
    <row r="755" spans="1:37" x14ac:dyDescent="0.2">
      <c r="A755">
        <v>39</v>
      </c>
      <c r="B755" t="s">
        <v>43</v>
      </c>
      <c r="C755" t="s">
        <v>71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v>0</v>
      </c>
      <c r="AH755">
        <v>1</v>
      </c>
      <c r="AI755" t="s">
        <v>68</v>
      </c>
      <c r="AJ755" t="s">
        <v>81</v>
      </c>
      <c r="AK755" t="s">
        <v>73</v>
      </c>
    </row>
    <row r="756" spans="1:37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0</v>
      </c>
      <c r="AH756">
        <v>0</v>
      </c>
      <c r="AI756" t="s">
        <v>76</v>
      </c>
      <c r="AJ756" t="s">
        <v>74</v>
      </c>
      <c r="AK756" t="s">
        <v>77</v>
      </c>
    </row>
    <row r="757" spans="1:37" x14ac:dyDescent="0.2">
      <c r="A757">
        <v>45</v>
      </c>
      <c r="B757" t="s">
        <v>43</v>
      </c>
      <c r="C757" t="s">
        <v>67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v>0</v>
      </c>
      <c r="AH757">
        <v>0</v>
      </c>
      <c r="AI757" t="s">
        <v>72</v>
      </c>
      <c r="AJ757" t="s">
        <v>81</v>
      </c>
      <c r="AK757" t="s">
        <v>70</v>
      </c>
    </row>
    <row r="758" spans="1:37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v>0</v>
      </c>
      <c r="AH758">
        <v>0</v>
      </c>
      <c r="AI758" t="s">
        <v>76</v>
      </c>
      <c r="AJ758" t="s">
        <v>69</v>
      </c>
      <c r="AK758" t="s">
        <v>70</v>
      </c>
    </row>
    <row r="759" spans="1:37" x14ac:dyDescent="0.2">
      <c r="A759">
        <v>34</v>
      </c>
      <c r="B759" t="s">
        <v>43</v>
      </c>
      <c r="C759" t="s">
        <v>67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v>0</v>
      </c>
      <c r="AH759">
        <v>0</v>
      </c>
      <c r="AI759" t="s">
        <v>76</v>
      </c>
      <c r="AJ759" t="s">
        <v>79</v>
      </c>
      <c r="AK759" t="s">
        <v>73</v>
      </c>
    </row>
    <row r="760" spans="1:37" x14ac:dyDescent="0.2">
      <c r="A760">
        <v>59</v>
      </c>
      <c r="B760" t="s">
        <v>43</v>
      </c>
      <c r="C760" t="s">
        <v>67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v>0</v>
      </c>
      <c r="AH760">
        <v>1</v>
      </c>
      <c r="AI760" t="s">
        <v>78</v>
      </c>
      <c r="AJ760" t="s">
        <v>81</v>
      </c>
      <c r="AK760" t="s">
        <v>70</v>
      </c>
    </row>
    <row r="761" spans="1:37" x14ac:dyDescent="0.2">
      <c r="A761">
        <v>45</v>
      </c>
      <c r="B761" t="s">
        <v>43</v>
      </c>
      <c r="C761" t="s">
        <v>67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v>0</v>
      </c>
      <c r="AH761">
        <v>0</v>
      </c>
      <c r="AI761" t="s">
        <v>72</v>
      </c>
      <c r="AJ761" t="s">
        <v>74</v>
      </c>
      <c r="AK761" t="s">
        <v>70</v>
      </c>
    </row>
    <row r="762" spans="1:37" x14ac:dyDescent="0.2">
      <c r="A762">
        <v>53</v>
      </c>
      <c r="B762" t="s">
        <v>43</v>
      </c>
      <c r="C762" t="s">
        <v>71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v>0</v>
      </c>
      <c r="AH762">
        <v>0</v>
      </c>
      <c r="AI762" t="s">
        <v>72</v>
      </c>
      <c r="AJ762" t="s">
        <v>79</v>
      </c>
      <c r="AK762" t="s">
        <v>73</v>
      </c>
    </row>
    <row r="763" spans="1:37" x14ac:dyDescent="0.2">
      <c r="A763">
        <v>36</v>
      </c>
      <c r="B763" t="s">
        <v>35</v>
      </c>
      <c r="C763" t="s">
        <v>67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v>1</v>
      </c>
      <c r="AH763">
        <v>0</v>
      </c>
      <c r="AI763" t="s">
        <v>68</v>
      </c>
      <c r="AJ763" t="s">
        <v>69</v>
      </c>
      <c r="AK763" t="s">
        <v>75</v>
      </c>
    </row>
    <row r="764" spans="1:37" x14ac:dyDescent="0.2">
      <c r="A764">
        <v>26</v>
      </c>
      <c r="B764" t="s">
        <v>35</v>
      </c>
      <c r="C764" t="s">
        <v>71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v>1</v>
      </c>
      <c r="AH764">
        <v>1</v>
      </c>
      <c r="AI764" t="s">
        <v>76</v>
      </c>
      <c r="AJ764" t="s">
        <v>74</v>
      </c>
      <c r="AK764" t="s">
        <v>77</v>
      </c>
    </row>
    <row r="765" spans="1:37" x14ac:dyDescent="0.2">
      <c r="A765">
        <v>34</v>
      </c>
      <c r="B765" t="s">
        <v>43</v>
      </c>
      <c r="C765" t="s">
        <v>67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1</v>
      </c>
      <c r="AI765" t="s">
        <v>76</v>
      </c>
      <c r="AJ765" t="s">
        <v>74</v>
      </c>
      <c r="AK765" t="s">
        <v>75</v>
      </c>
    </row>
    <row r="766" spans="1:37" x14ac:dyDescent="0.2">
      <c r="A766">
        <v>28</v>
      </c>
      <c r="B766" t="s">
        <v>43</v>
      </c>
      <c r="C766" t="s">
        <v>67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76</v>
      </c>
      <c r="AJ766" t="s">
        <v>74</v>
      </c>
      <c r="AK766" t="s">
        <v>75</v>
      </c>
    </row>
    <row r="767" spans="1:37" x14ac:dyDescent="0.2">
      <c r="A767">
        <v>38</v>
      </c>
      <c r="B767" t="s">
        <v>43</v>
      </c>
      <c r="C767" t="s">
        <v>71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v>0</v>
      </c>
      <c r="AH767">
        <v>0</v>
      </c>
      <c r="AI767" t="s">
        <v>68</v>
      </c>
      <c r="AJ767" t="s">
        <v>74</v>
      </c>
      <c r="AK767" t="s">
        <v>77</v>
      </c>
    </row>
    <row r="768" spans="1:37" x14ac:dyDescent="0.2">
      <c r="A768">
        <v>50</v>
      </c>
      <c r="B768" t="s">
        <v>43</v>
      </c>
      <c r="C768" t="s">
        <v>67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v>0</v>
      </c>
      <c r="AH768">
        <v>1</v>
      </c>
      <c r="AI768" t="s">
        <v>72</v>
      </c>
      <c r="AJ768" t="s">
        <v>81</v>
      </c>
      <c r="AK768" t="s">
        <v>70</v>
      </c>
    </row>
    <row r="769" spans="1:37" x14ac:dyDescent="0.2">
      <c r="A769">
        <v>37</v>
      </c>
      <c r="B769" t="s">
        <v>43</v>
      </c>
      <c r="C769" t="s">
        <v>67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v>0</v>
      </c>
      <c r="AH769">
        <v>0</v>
      </c>
      <c r="AI769" t="s">
        <v>68</v>
      </c>
      <c r="AJ769" t="s">
        <v>69</v>
      </c>
      <c r="AK769" t="s">
        <v>77</v>
      </c>
    </row>
    <row r="770" spans="1:37" x14ac:dyDescent="0.2">
      <c r="A770">
        <v>40</v>
      </c>
      <c r="B770" t="s">
        <v>43</v>
      </c>
      <c r="C770" t="s">
        <v>67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v>0</v>
      </c>
      <c r="AH770">
        <v>0</v>
      </c>
      <c r="AI770" t="s">
        <v>68</v>
      </c>
      <c r="AJ770" t="s">
        <v>79</v>
      </c>
      <c r="AK770" t="s">
        <v>70</v>
      </c>
    </row>
    <row r="771" spans="1:37" x14ac:dyDescent="0.2">
      <c r="A771">
        <v>26</v>
      </c>
      <c r="B771" t="s">
        <v>43</v>
      </c>
      <c r="C771" t="s">
        <v>71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v>0</v>
      </c>
      <c r="AH771">
        <v>0</v>
      </c>
      <c r="AI771" t="s">
        <v>76</v>
      </c>
      <c r="AJ771" t="s">
        <v>74</v>
      </c>
      <c r="AK771" t="s">
        <v>70</v>
      </c>
    </row>
    <row r="772" spans="1:37" x14ac:dyDescent="0.2">
      <c r="A772">
        <v>46</v>
      </c>
      <c r="B772" t="s">
        <v>43</v>
      </c>
      <c r="C772" t="s">
        <v>67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v>0</v>
      </c>
      <c r="AH772">
        <v>0</v>
      </c>
      <c r="AI772" t="s">
        <v>72</v>
      </c>
      <c r="AJ772" t="s">
        <v>81</v>
      </c>
      <c r="AK772" t="s">
        <v>77</v>
      </c>
    </row>
    <row r="773" spans="1:37" x14ac:dyDescent="0.2">
      <c r="A773">
        <v>54</v>
      </c>
      <c r="B773" t="s">
        <v>43</v>
      </c>
      <c r="C773" t="s">
        <v>67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v>0</v>
      </c>
      <c r="AH773">
        <v>0</v>
      </c>
      <c r="AI773" t="s">
        <v>72</v>
      </c>
      <c r="AJ773" t="s">
        <v>81</v>
      </c>
      <c r="AK773" t="s">
        <v>70</v>
      </c>
    </row>
    <row r="774" spans="1:37" x14ac:dyDescent="0.2">
      <c r="A774">
        <v>56</v>
      </c>
      <c r="B774" t="s">
        <v>43</v>
      </c>
      <c r="C774" t="s">
        <v>71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v>0</v>
      </c>
      <c r="AH774">
        <v>0</v>
      </c>
      <c r="AI774" t="s">
        <v>78</v>
      </c>
      <c r="AJ774" t="s">
        <v>74</v>
      </c>
      <c r="AK774" t="s">
        <v>70</v>
      </c>
    </row>
    <row r="775" spans="1:37" x14ac:dyDescent="0.2">
      <c r="A775">
        <v>36</v>
      </c>
      <c r="B775" t="s">
        <v>43</v>
      </c>
      <c r="C775" t="s">
        <v>67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v>0</v>
      </c>
      <c r="AH775">
        <v>0</v>
      </c>
      <c r="AI775" t="s">
        <v>68</v>
      </c>
      <c r="AJ775" t="s">
        <v>79</v>
      </c>
      <c r="AK775" t="s">
        <v>73</v>
      </c>
    </row>
    <row r="776" spans="1:37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v>0</v>
      </c>
      <c r="AH776">
        <v>0</v>
      </c>
      <c r="AI776" t="s">
        <v>78</v>
      </c>
      <c r="AJ776" t="s">
        <v>81</v>
      </c>
      <c r="AK776" t="s">
        <v>70</v>
      </c>
    </row>
    <row r="777" spans="1:37" x14ac:dyDescent="0.2">
      <c r="A777">
        <v>43</v>
      </c>
      <c r="B777" t="s">
        <v>43</v>
      </c>
      <c r="C777" t="s">
        <v>67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68</v>
      </c>
      <c r="AJ777" t="s">
        <v>81</v>
      </c>
      <c r="AK777" t="s">
        <v>75</v>
      </c>
    </row>
    <row r="778" spans="1:37" x14ac:dyDescent="0.2">
      <c r="A778">
        <v>20</v>
      </c>
      <c r="B778" t="s">
        <v>35</v>
      </c>
      <c r="C778" t="s">
        <v>71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v>1</v>
      </c>
      <c r="AH778">
        <v>1</v>
      </c>
      <c r="AI778" t="s">
        <v>80</v>
      </c>
      <c r="AJ778" t="s">
        <v>74</v>
      </c>
      <c r="AK778" t="s">
        <v>77</v>
      </c>
    </row>
    <row r="779" spans="1:37" x14ac:dyDescent="0.2">
      <c r="A779">
        <v>21</v>
      </c>
      <c r="B779" t="s">
        <v>35</v>
      </c>
      <c r="C779" t="s">
        <v>67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v>1</v>
      </c>
      <c r="AH779">
        <v>0</v>
      </c>
      <c r="AI779" t="s">
        <v>80</v>
      </c>
      <c r="AJ779" t="s">
        <v>74</v>
      </c>
      <c r="AK779" t="s">
        <v>75</v>
      </c>
    </row>
    <row r="780" spans="1:37" x14ac:dyDescent="0.2">
      <c r="A780">
        <v>46</v>
      </c>
      <c r="B780" t="s">
        <v>43</v>
      </c>
      <c r="C780" t="s">
        <v>67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v>0</v>
      </c>
      <c r="AH780">
        <v>1</v>
      </c>
      <c r="AI780" t="s">
        <v>72</v>
      </c>
      <c r="AJ780" t="s">
        <v>69</v>
      </c>
      <c r="AK780" t="s">
        <v>73</v>
      </c>
    </row>
    <row r="781" spans="1:37" x14ac:dyDescent="0.2">
      <c r="A781">
        <v>51</v>
      </c>
      <c r="B781" t="s">
        <v>35</v>
      </c>
      <c r="C781" t="s">
        <v>67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v>1</v>
      </c>
      <c r="AH781">
        <v>1</v>
      </c>
      <c r="AI781" t="s">
        <v>72</v>
      </c>
      <c r="AJ781" t="s">
        <v>74</v>
      </c>
      <c r="AK781" t="s">
        <v>73</v>
      </c>
    </row>
    <row r="782" spans="1:37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v>1</v>
      </c>
      <c r="AH782">
        <v>0</v>
      </c>
      <c r="AI782" t="s">
        <v>76</v>
      </c>
      <c r="AJ782" t="s">
        <v>79</v>
      </c>
      <c r="AK782" t="s">
        <v>73</v>
      </c>
    </row>
    <row r="783" spans="1:37" x14ac:dyDescent="0.2">
      <c r="A783">
        <v>26</v>
      </c>
      <c r="B783" t="s">
        <v>43</v>
      </c>
      <c r="C783" t="s">
        <v>67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v>0</v>
      </c>
      <c r="AH783">
        <v>0</v>
      </c>
      <c r="AI783" t="s">
        <v>76</v>
      </c>
      <c r="AJ783" t="s">
        <v>69</v>
      </c>
      <c r="AK783" t="s">
        <v>70</v>
      </c>
    </row>
    <row r="784" spans="1:37" x14ac:dyDescent="0.2">
      <c r="A784">
        <v>30</v>
      </c>
      <c r="B784" t="s">
        <v>43</v>
      </c>
      <c r="C784" t="s">
        <v>67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v>0</v>
      </c>
      <c r="AH784">
        <v>0</v>
      </c>
      <c r="AI784" t="s">
        <v>76</v>
      </c>
      <c r="AJ784" t="s">
        <v>79</v>
      </c>
      <c r="AK784" t="s">
        <v>70</v>
      </c>
    </row>
    <row r="785" spans="1:37" x14ac:dyDescent="0.2">
      <c r="A785">
        <v>41</v>
      </c>
      <c r="B785" t="s">
        <v>43</v>
      </c>
      <c r="C785" t="s">
        <v>67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v>0</v>
      </c>
      <c r="AH785">
        <v>0</v>
      </c>
      <c r="AI785" t="s">
        <v>68</v>
      </c>
      <c r="AJ785" t="s">
        <v>69</v>
      </c>
      <c r="AK785" t="s">
        <v>73</v>
      </c>
    </row>
    <row r="786" spans="1:37" x14ac:dyDescent="0.2">
      <c r="A786">
        <v>38</v>
      </c>
      <c r="B786" t="s">
        <v>43</v>
      </c>
      <c r="C786" t="s">
        <v>67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v>0</v>
      </c>
      <c r="AH786">
        <v>0</v>
      </c>
      <c r="AI786" t="s">
        <v>68</v>
      </c>
      <c r="AJ786" t="s">
        <v>79</v>
      </c>
      <c r="AK786" t="s">
        <v>73</v>
      </c>
    </row>
    <row r="787" spans="1:37" x14ac:dyDescent="0.2">
      <c r="A787">
        <v>40</v>
      </c>
      <c r="B787" t="s">
        <v>43</v>
      </c>
      <c r="C787" t="s">
        <v>67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v>0</v>
      </c>
      <c r="AH787">
        <v>0</v>
      </c>
      <c r="AI787" t="s">
        <v>68</v>
      </c>
      <c r="AJ787" t="s">
        <v>81</v>
      </c>
      <c r="AK787" t="s">
        <v>73</v>
      </c>
    </row>
    <row r="788" spans="1:37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v>0</v>
      </c>
      <c r="AH788">
        <v>0</v>
      </c>
      <c r="AI788" t="s">
        <v>76</v>
      </c>
      <c r="AJ788" t="s">
        <v>69</v>
      </c>
      <c r="AK788" t="s">
        <v>77</v>
      </c>
    </row>
    <row r="789" spans="1:37" x14ac:dyDescent="0.2">
      <c r="A789">
        <v>55</v>
      </c>
      <c r="B789" t="s">
        <v>43</v>
      </c>
      <c r="C789" t="s">
        <v>71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v>0</v>
      </c>
      <c r="AH789">
        <v>0</v>
      </c>
      <c r="AI789" t="s">
        <v>78</v>
      </c>
      <c r="AJ789" t="s">
        <v>81</v>
      </c>
      <c r="AK789" t="s">
        <v>77</v>
      </c>
    </row>
    <row r="790" spans="1:37" x14ac:dyDescent="0.2">
      <c r="A790">
        <v>28</v>
      </c>
      <c r="B790" t="s">
        <v>43</v>
      </c>
      <c r="C790" t="s">
        <v>67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v>0</v>
      </c>
      <c r="AH790">
        <v>0</v>
      </c>
      <c r="AI790" t="s">
        <v>76</v>
      </c>
      <c r="AJ790" t="s">
        <v>69</v>
      </c>
      <c r="AK790" t="s">
        <v>70</v>
      </c>
    </row>
    <row r="791" spans="1:37" x14ac:dyDescent="0.2">
      <c r="A791">
        <v>44</v>
      </c>
      <c r="B791" t="s">
        <v>35</v>
      </c>
      <c r="C791" t="s">
        <v>67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v>1</v>
      </c>
      <c r="AH791">
        <v>0</v>
      </c>
      <c r="AI791" t="s">
        <v>68</v>
      </c>
      <c r="AJ791" t="s">
        <v>81</v>
      </c>
      <c r="AK791" t="s">
        <v>73</v>
      </c>
    </row>
    <row r="792" spans="1:37" x14ac:dyDescent="0.2">
      <c r="A792">
        <v>33</v>
      </c>
      <c r="B792" t="s">
        <v>43</v>
      </c>
      <c r="C792" t="s">
        <v>67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v>0</v>
      </c>
      <c r="AH792">
        <v>0</v>
      </c>
      <c r="AI792" t="s">
        <v>76</v>
      </c>
      <c r="AJ792" t="s">
        <v>79</v>
      </c>
      <c r="AK792" t="s">
        <v>77</v>
      </c>
    </row>
    <row r="793" spans="1:37" x14ac:dyDescent="0.2">
      <c r="A793">
        <v>35</v>
      </c>
      <c r="B793" t="s">
        <v>35</v>
      </c>
      <c r="C793" t="s">
        <v>67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v>1</v>
      </c>
      <c r="AH793">
        <v>1</v>
      </c>
      <c r="AI793" t="s">
        <v>68</v>
      </c>
      <c r="AJ793" t="s">
        <v>79</v>
      </c>
      <c r="AK793" t="s">
        <v>70</v>
      </c>
    </row>
    <row r="794" spans="1:37" x14ac:dyDescent="0.2">
      <c r="A794">
        <v>33</v>
      </c>
      <c r="B794" t="s">
        <v>35</v>
      </c>
      <c r="C794" t="s">
        <v>71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v>1</v>
      </c>
      <c r="AH794">
        <v>0</v>
      </c>
      <c r="AI794" t="s">
        <v>76</v>
      </c>
      <c r="AJ794" t="s">
        <v>69</v>
      </c>
      <c r="AK794" t="s">
        <v>73</v>
      </c>
    </row>
    <row r="795" spans="1:37" x14ac:dyDescent="0.2">
      <c r="A795">
        <v>28</v>
      </c>
      <c r="B795" t="s">
        <v>43</v>
      </c>
      <c r="C795" t="s">
        <v>67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v>0</v>
      </c>
      <c r="AH795">
        <v>0</v>
      </c>
      <c r="AI795" t="s">
        <v>76</v>
      </c>
      <c r="AJ795" t="s">
        <v>74</v>
      </c>
      <c r="AK795" t="s">
        <v>77</v>
      </c>
    </row>
    <row r="796" spans="1:37" x14ac:dyDescent="0.2">
      <c r="A796">
        <v>34</v>
      </c>
      <c r="B796" t="s">
        <v>43</v>
      </c>
      <c r="C796" t="s">
        <v>71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v>0</v>
      </c>
      <c r="AH796">
        <v>0</v>
      </c>
      <c r="AI796" t="s">
        <v>76</v>
      </c>
      <c r="AJ796" t="s">
        <v>79</v>
      </c>
      <c r="AK796" t="s">
        <v>70</v>
      </c>
    </row>
    <row r="797" spans="1:37" x14ac:dyDescent="0.2">
      <c r="A797">
        <v>37</v>
      </c>
      <c r="B797" t="s">
        <v>43</v>
      </c>
      <c r="C797" t="s">
        <v>67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1</v>
      </c>
      <c r="AI797" t="s">
        <v>68</v>
      </c>
      <c r="AJ797" t="s">
        <v>79</v>
      </c>
      <c r="AK797" t="s">
        <v>75</v>
      </c>
    </row>
    <row r="798" spans="1:37" x14ac:dyDescent="0.2">
      <c r="A798">
        <v>25</v>
      </c>
      <c r="B798" t="s">
        <v>35</v>
      </c>
      <c r="C798" t="s">
        <v>67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v>1</v>
      </c>
      <c r="AH798">
        <v>1</v>
      </c>
      <c r="AI798" t="s">
        <v>76</v>
      </c>
      <c r="AJ798" t="s">
        <v>69</v>
      </c>
      <c r="AK798" t="s">
        <v>70</v>
      </c>
    </row>
    <row r="799" spans="1:37" x14ac:dyDescent="0.2">
      <c r="A799">
        <v>26</v>
      </c>
      <c r="B799" t="s">
        <v>35</v>
      </c>
      <c r="C799" t="s">
        <v>67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v>1</v>
      </c>
      <c r="AH799">
        <v>0</v>
      </c>
      <c r="AI799" t="s">
        <v>76</v>
      </c>
      <c r="AJ799" t="s">
        <v>74</v>
      </c>
      <c r="AK799" t="s">
        <v>75</v>
      </c>
    </row>
    <row r="800" spans="1:37" x14ac:dyDescent="0.2">
      <c r="A800">
        <v>33</v>
      </c>
      <c r="B800" t="s">
        <v>35</v>
      </c>
      <c r="C800" t="s">
        <v>67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v>1</v>
      </c>
      <c r="AH800">
        <v>1</v>
      </c>
      <c r="AI800" t="s">
        <v>76</v>
      </c>
      <c r="AJ800" t="s">
        <v>74</v>
      </c>
      <c r="AK800" t="s">
        <v>77</v>
      </c>
    </row>
    <row r="801" spans="1:37" x14ac:dyDescent="0.2">
      <c r="A801">
        <v>42</v>
      </c>
      <c r="B801" t="s">
        <v>43</v>
      </c>
      <c r="C801" t="s">
        <v>67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v>0</v>
      </c>
      <c r="AH801">
        <v>0</v>
      </c>
      <c r="AI801" t="s">
        <v>68</v>
      </c>
      <c r="AJ801" t="s">
        <v>81</v>
      </c>
      <c r="AK801" t="s">
        <v>73</v>
      </c>
    </row>
    <row r="802" spans="1:37" x14ac:dyDescent="0.2">
      <c r="A802">
        <v>28</v>
      </c>
      <c r="B802" t="s">
        <v>35</v>
      </c>
      <c r="C802" t="s">
        <v>71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v>1</v>
      </c>
      <c r="AH802">
        <v>0</v>
      </c>
      <c r="AI802" t="s">
        <v>76</v>
      </c>
      <c r="AJ802" t="s">
        <v>74</v>
      </c>
      <c r="AK802" t="s">
        <v>75</v>
      </c>
    </row>
    <row r="803" spans="1:37" x14ac:dyDescent="0.2">
      <c r="A803">
        <v>50</v>
      </c>
      <c r="B803" t="s">
        <v>35</v>
      </c>
      <c r="C803" t="s">
        <v>71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1</v>
      </c>
      <c r="AI803" t="s">
        <v>72</v>
      </c>
      <c r="AJ803" t="s">
        <v>69</v>
      </c>
      <c r="AK803" t="s">
        <v>75</v>
      </c>
    </row>
    <row r="804" spans="1:37" x14ac:dyDescent="0.2">
      <c r="A804">
        <v>33</v>
      </c>
      <c r="B804" t="s">
        <v>43</v>
      </c>
      <c r="C804" t="s">
        <v>71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v>0</v>
      </c>
      <c r="AH804">
        <v>0</v>
      </c>
      <c r="AI804" t="s">
        <v>76</v>
      </c>
      <c r="AJ804" t="s">
        <v>69</v>
      </c>
      <c r="AK804" t="s">
        <v>77</v>
      </c>
    </row>
    <row r="805" spans="1:37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76</v>
      </c>
      <c r="AJ805" t="s">
        <v>74</v>
      </c>
      <c r="AK805" t="s">
        <v>75</v>
      </c>
    </row>
    <row r="806" spans="1:37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v>0</v>
      </c>
      <c r="AH806">
        <v>0</v>
      </c>
      <c r="AI806" t="s">
        <v>72</v>
      </c>
      <c r="AJ806" t="s">
        <v>81</v>
      </c>
      <c r="AK806" t="s">
        <v>70</v>
      </c>
    </row>
    <row r="807" spans="1:37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v>0</v>
      </c>
      <c r="AH807">
        <v>0</v>
      </c>
      <c r="AI807" t="s">
        <v>72</v>
      </c>
      <c r="AJ807" t="s">
        <v>69</v>
      </c>
      <c r="AK807" t="s">
        <v>73</v>
      </c>
    </row>
    <row r="808" spans="1:37" x14ac:dyDescent="0.2">
      <c r="A808">
        <v>52</v>
      </c>
      <c r="B808" t="s">
        <v>43</v>
      </c>
      <c r="C808" t="s">
        <v>67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v>0</v>
      </c>
      <c r="AH808">
        <v>0</v>
      </c>
      <c r="AI808" t="s">
        <v>72</v>
      </c>
      <c r="AJ808" t="s">
        <v>81</v>
      </c>
      <c r="AK808" t="s">
        <v>70</v>
      </c>
    </row>
    <row r="809" spans="1:37" x14ac:dyDescent="0.2">
      <c r="A809">
        <v>38</v>
      </c>
      <c r="B809" t="s">
        <v>43</v>
      </c>
      <c r="C809" t="s">
        <v>67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v>0</v>
      </c>
      <c r="AH809">
        <v>1</v>
      </c>
      <c r="AI809" t="s">
        <v>68</v>
      </c>
      <c r="AJ809" t="s">
        <v>79</v>
      </c>
      <c r="AK809" t="s">
        <v>70</v>
      </c>
    </row>
    <row r="810" spans="1:37" x14ac:dyDescent="0.2">
      <c r="A810">
        <v>29</v>
      </c>
      <c r="B810" t="s">
        <v>43</v>
      </c>
      <c r="C810" t="s">
        <v>67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v>0</v>
      </c>
      <c r="AH810">
        <v>0</v>
      </c>
      <c r="AI810" t="s">
        <v>76</v>
      </c>
      <c r="AJ810" t="s">
        <v>74</v>
      </c>
      <c r="AK810" t="s">
        <v>70</v>
      </c>
    </row>
    <row r="811" spans="1:37" x14ac:dyDescent="0.2">
      <c r="A811">
        <v>28</v>
      </c>
      <c r="B811" t="s">
        <v>43</v>
      </c>
      <c r="C811" t="s">
        <v>67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v>0</v>
      </c>
      <c r="AH811">
        <v>0</v>
      </c>
      <c r="AI811" t="s">
        <v>76</v>
      </c>
      <c r="AJ811" t="s">
        <v>79</v>
      </c>
      <c r="AK811" t="s">
        <v>70</v>
      </c>
    </row>
    <row r="812" spans="1:37" x14ac:dyDescent="0.2">
      <c r="A812">
        <v>46</v>
      </c>
      <c r="B812" t="s">
        <v>43</v>
      </c>
      <c r="C812" t="s">
        <v>67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v>0</v>
      </c>
      <c r="AH812">
        <v>0</v>
      </c>
      <c r="AI812" t="s">
        <v>72</v>
      </c>
      <c r="AJ812" t="s">
        <v>81</v>
      </c>
      <c r="AK812" t="s">
        <v>73</v>
      </c>
    </row>
    <row r="813" spans="1:37" x14ac:dyDescent="0.2">
      <c r="A813">
        <v>38</v>
      </c>
      <c r="B813" t="s">
        <v>43</v>
      </c>
      <c r="C813" t="s">
        <v>67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68</v>
      </c>
      <c r="AJ813" t="s">
        <v>79</v>
      </c>
      <c r="AK813" t="s">
        <v>75</v>
      </c>
    </row>
    <row r="814" spans="1:37" x14ac:dyDescent="0.2">
      <c r="A814">
        <v>43</v>
      </c>
      <c r="B814" t="s">
        <v>43</v>
      </c>
      <c r="C814" t="s">
        <v>71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v>0</v>
      </c>
      <c r="AH814">
        <v>0</v>
      </c>
      <c r="AI814" t="s">
        <v>68</v>
      </c>
      <c r="AJ814" t="s">
        <v>81</v>
      </c>
      <c r="AK814" t="s">
        <v>70</v>
      </c>
    </row>
    <row r="815" spans="1:37" x14ac:dyDescent="0.2">
      <c r="A815">
        <v>39</v>
      </c>
      <c r="B815" t="s">
        <v>35</v>
      </c>
      <c r="C815" t="s">
        <v>71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v>1</v>
      </c>
      <c r="AH815">
        <v>0</v>
      </c>
      <c r="AI815" t="s">
        <v>68</v>
      </c>
      <c r="AJ815" t="s">
        <v>81</v>
      </c>
      <c r="AK815" t="s">
        <v>73</v>
      </c>
    </row>
    <row r="816" spans="1:37" x14ac:dyDescent="0.2">
      <c r="A816">
        <v>40</v>
      </c>
      <c r="B816" t="s">
        <v>43</v>
      </c>
      <c r="C816" t="s">
        <v>67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v>0</v>
      </c>
      <c r="AH816">
        <v>0</v>
      </c>
      <c r="AI816" t="s">
        <v>68</v>
      </c>
      <c r="AJ816" t="s">
        <v>81</v>
      </c>
      <c r="AK816" t="s">
        <v>73</v>
      </c>
    </row>
    <row r="817" spans="1:37" x14ac:dyDescent="0.2">
      <c r="A817">
        <v>21</v>
      </c>
      <c r="B817" t="s">
        <v>43</v>
      </c>
      <c r="C817" t="s">
        <v>67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v>0</v>
      </c>
      <c r="AH817">
        <v>1</v>
      </c>
      <c r="AI817" t="s">
        <v>80</v>
      </c>
      <c r="AJ817" t="s">
        <v>74</v>
      </c>
      <c r="AK817" t="s">
        <v>77</v>
      </c>
    </row>
    <row r="818" spans="1:37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v>0</v>
      </c>
      <c r="AH818">
        <v>0</v>
      </c>
      <c r="AI818" t="s">
        <v>68</v>
      </c>
      <c r="AJ818" t="s">
        <v>79</v>
      </c>
      <c r="AK818" t="s">
        <v>70</v>
      </c>
    </row>
    <row r="819" spans="1:37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v>0</v>
      </c>
      <c r="AH819">
        <v>0</v>
      </c>
      <c r="AI819" t="s">
        <v>68</v>
      </c>
      <c r="AJ819" t="s">
        <v>79</v>
      </c>
      <c r="AK819" t="s">
        <v>73</v>
      </c>
    </row>
    <row r="820" spans="1:37" x14ac:dyDescent="0.2">
      <c r="A820">
        <v>31</v>
      </c>
      <c r="B820" t="s">
        <v>43</v>
      </c>
      <c r="C820" t="s">
        <v>71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v>0</v>
      </c>
      <c r="AH820">
        <v>0</v>
      </c>
      <c r="AI820" t="s">
        <v>76</v>
      </c>
      <c r="AJ820" t="s">
        <v>74</v>
      </c>
      <c r="AK820" t="s">
        <v>77</v>
      </c>
    </row>
    <row r="821" spans="1:37" x14ac:dyDescent="0.2">
      <c r="A821">
        <v>28</v>
      </c>
      <c r="B821" t="s">
        <v>43</v>
      </c>
      <c r="C821" t="s">
        <v>67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v>0</v>
      </c>
      <c r="AH821">
        <v>0</v>
      </c>
      <c r="AI821" t="s">
        <v>76</v>
      </c>
      <c r="AJ821" t="s">
        <v>69</v>
      </c>
      <c r="AK821" t="s">
        <v>70</v>
      </c>
    </row>
    <row r="822" spans="1:37" x14ac:dyDescent="0.2">
      <c r="A822">
        <v>35</v>
      </c>
      <c r="B822" t="s">
        <v>43</v>
      </c>
      <c r="C822" t="s">
        <v>71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v>0</v>
      </c>
      <c r="AH822">
        <v>0</v>
      </c>
      <c r="AI822" t="s">
        <v>68</v>
      </c>
      <c r="AJ822" t="s">
        <v>69</v>
      </c>
      <c r="AK822" t="s">
        <v>70</v>
      </c>
    </row>
    <row r="823" spans="1:37" x14ac:dyDescent="0.2">
      <c r="A823">
        <v>49</v>
      </c>
      <c r="B823" t="s">
        <v>43</v>
      </c>
      <c r="C823" t="s">
        <v>67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v>0</v>
      </c>
      <c r="AH823">
        <v>0</v>
      </c>
      <c r="AI823" t="s">
        <v>72</v>
      </c>
      <c r="AJ823" t="s">
        <v>81</v>
      </c>
      <c r="AK823" t="s">
        <v>70</v>
      </c>
    </row>
    <row r="824" spans="1:37" x14ac:dyDescent="0.2">
      <c r="A824">
        <v>34</v>
      </c>
      <c r="B824" t="s">
        <v>43</v>
      </c>
      <c r="C824" t="s">
        <v>71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v>0</v>
      </c>
      <c r="AH824">
        <v>0</v>
      </c>
      <c r="AI824" t="s">
        <v>76</v>
      </c>
      <c r="AJ824" t="s">
        <v>69</v>
      </c>
      <c r="AK824" t="s">
        <v>77</v>
      </c>
    </row>
    <row r="825" spans="1:37" x14ac:dyDescent="0.2">
      <c r="A825">
        <v>29</v>
      </c>
      <c r="B825" t="s">
        <v>43</v>
      </c>
      <c r="C825" t="s">
        <v>71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v>0</v>
      </c>
      <c r="AH825">
        <v>0</v>
      </c>
      <c r="AI825" t="s">
        <v>76</v>
      </c>
      <c r="AJ825" t="s">
        <v>69</v>
      </c>
      <c r="AK825" t="s">
        <v>70</v>
      </c>
    </row>
    <row r="826" spans="1:37" x14ac:dyDescent="0.2">
      <c r="A826">
        <v>42</v>
      </c>
      <c r="B826" t="s">
        <v>43</v>
      </c>
      <c r="C826" t="s">
        <v>67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68</v>
      </c>
      <c r="AJ826" t="s">
        <v>69</v>
      </c>
      <c r="AK826" t="s">
        <v>75</v>
      </c>
    </row>
    <row r="827" spans="1:37" x14ac:dyDescent="0.2">
      <c r="A827">
        <v>29</v>
      </c>
      <c r="B827" t="s">
        <v>43</v>
      </c>
      <c r="C827" t="s">
        <v>67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v>0</v>
      </c>
      <c r="AH827">
        <v>1</v>
      </c>
      <c r="AI827" t="s">
        <v>76</v>
      </c>
      <c r="AJ827" t="s">
        <v>69</v>
      </c>
      <c r="AK827" t="s">
        <v>73</v>
      </c>
    </row>
    <row r="828" spans="1:37" x14ac:dyDescent="0.2">
      <c r="A828">
        <v>38</v>
      </c>
      <c r="B828" t="s">
        <v>43</v>
      </c>
      <c r="C828" t="s">
        <v>67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v>0</v>
      </c>
      <c r="AH828">
        <v>0</v>
      </c>
      <c r="AI828" t="s">
        <v>68</v>
      </c>
      <c r="AJ828" t="s">
        <v>74</v>
      </c>
      <c r="AK828" t="s">
        <v>70</v>
      </c>
    </row>
    <row r="829" spans="1:37" x14ac:dyDescent="0.2">
      <c r="A829">
        <v>28</v>
      </c>
      <c r="B829" t="s">
        <v>43</v>
      </c>
      <c r="C829" t="s">
        <v>71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v>0</v>
      </c>
      <c r="AH829">
        <v>1</v>
      </c>
      <c r="AI829" t="s">
        <v>76</v>
      </c>
      <c r="AJ829" t="s">
        <v>74</v>
      </c>
      <c r="AK829" t="s">
        <v>77</v>
      </c>
    </row>
    <row r="830" spans="1:37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 t="s">
        <v>80</v>
      </c>
      <c r="AJ830" t="s">
        <v>74</v>
      </c>
      <c r="AK830" t="s">
        <v>75</v>
      </c>
    </row>
    <row r="831" spans="1:37" x14ac:dyDescent="0.2">
      <c r="A831">
        <v>33</v>
      </c>
      <c r="B831" t="s">
        <v>35</v>
      </c>
      <c r="C831" t="s">
        <v>67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v>1</v>
      </c>
      <c r="AH831">
        <v>1</v>
      </c>
      <c r="AI831" t="s">
        <v>76</v>
      </c>
      <c r="AJ831" t="s">
        <v>79</v>
      </c>
      <c r="AK831" t="s">
        <v>70</v>
      </c>
    </row>
    <row r="832" spans="1:37" x14ac:dyDescent="0.2">
      <c r="A832">
        <v>41</v>
      </c>
      <c r="B832" t="s">
        <v>43</v>
      </c>
      <c r="C832" t="s">
        <v>67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 t="s">
        <v>68</v>
      </c>
      <c r="AJ832" t="s">
        <v>69</v>
      </c>
      <c r="AK832" t="s">
        <v>75</v>
      </c>
    </row>
    <row r="833" spans="1:37" x14ac:dyDescent="0.2">
      <c r="A833">
        <v>31</v>
      </c>
      <c r="B833" t="s">
        <v>35</v>
      </c>
      <c r="C833" t="s">
        <v>71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1</v>
      </c>
      <c r="AH833">
        <v>0</v>
      </c>
      <c r="AI833" t="s">
        <v>76</v>
      </c>
      <c r="AJ833" t="s">
        <v>74</v>
      </c>
      <c r="AK833" t="s">
        <v>77</v>
      </c>
    </row>
    <row r="834" spans="1:37" x14ac:dyDescent="0.2">
      <c r="A834">
        <v>37</v>
      </c>
      <c r="B834" t="s">
        <v>43</v>
      </c>
      <c r="C834" t="s">
        <v>67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v>0</v>
      </c>
      <c r="AH834">
        <v>0</v>
      </c>
      <c r="AI834" t="s">
        <v>68</v>
      </c>
      <c r="AJ834" t="s">
        <v>69</v>
      </c>
      <c r="AK834" t="s">
        <v>70</v>
      </c>
    </row>
    <row r="835" spans="1:37" x14ac:dyDescent="0.2">
      <c r="A835">
        <v>27</v>
      </c>
      <c r="B835" t="s">
        <v>43</v>
      </c>
      <c r="C835" t="s">
        <v>67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v>0</v>
      </c>
      <c r="AH835">
        <v>0</v>
      </c>
      <c r="AI835" t="s">
        <v>76</v>
      </c>
      <c r="AJ835" t="s">
        <v>74</v>
      </c>
      <c r="AK835" t="s">
        <v>77</v>
      </c>
    </row>
    <row r="836" spans="1:37" x14ac:dyDescent="0.2">
      <c r="A836">
        <v>34</v>
      </c>
      <c r="B836" t="s">
        <v>43</v>
      </c>
      <c r="C836" t="s">
        <v>67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v>0</v>
      </c>
      <c r="AH836">
        <v>0</v>
      </c>
      <c r="AI836" t="s">
        <v>76</v>
      </c>
      <c r="AJ836" t="s">
        <v>69</v>
      </c>
      <c r="AK836" t="s">
        <v>70</v>
      </c>
    </row>
    <row r="837" spans="1:37" x14ac:dyDescent="0.2">
      <c r="A837">
        <v>35</v>
      </c>
      <c r="B837" t="s">
        <v>43</v>
      </c>
      <c r="C837" t="s">
        <v>67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v>0</v>
      </c>
      <c r="AH837">
        <v>0</v>
      </c>
      <c r="AI837" t="s">
        <v>68</v>
      </c>
      <c r="AJ837" t="s">
        <v>69</v>
      </c>
      <c r="AK837" t="s">
        <v>70</v>
      </c>
    </row>
    <row r="838" spans="1:37" x14ac:dyDescent="0.2">
      <c r="A838">
        <v>29</v>
      </c>
      <c r="B838" t="s">
        <v>35</v>
      </c>
      <c r="C838" t="s">
        <v>67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v>1</v>
      </c>
      <c r="AH838">
        <v>0</v>
      </c>
      <c r="AI838" t="s">
        <v>76</v>
      </c>
      <c r="AJ838" t="s">
        <v>79</v>
      </c>
      <c r="AK838" t="s">
        <v>73</v>
      </c>
    </row>
    <row r="839" spans="1:37" x14ac:dyDescent="0.2">
      <c r="A839">
        <v>40</v>
      </c>
      <c r="B839" t="s">
        <v>43</v>
      </c>
      <c r="C839" t="s">
        <v>71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v>0</v>
      </c>
      <c r="AH839">
        <v>0</v>
      </c>
      <c r="AI839" t="s">
        <v>68</v>
      </c>
      <c r="AJ839" t="s">
        <v>81</v>
      </c>
      <c r="AK839" t="s">
        <v>73</v>
      </c>
    </row>
    <row r="840" spans="1:37" x14ac:dyDescent="0.2">
      <c r="A840">
        <v>42</v>
      </c>
      <c r="B840" t="s">
        <v>35</v>
      </c>
      <c r="C840" t="s">
        <v>71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v>1</v>
      </c>
      <c r="AH840">
        <v>1</v>
      </c>
      <c r="AI840" t="s">
        <v>68</v>
      </c>
      <c r="AJ840" t="s">
        <v>81</v>
      </c>
      <c r="AK840" t="s">
        <v>73</v>
      </c>
    </row>
    <row r="841" spans="1:37" x14ac:dyDescent="0.2">
      <c r="A841">
        <v>42</v>
      </c>
      <c r="B841" t="s">
        <v>43</v>
      </c>
      <c r="C841" t="s">
        <v>67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v>0</v>
      </c>
      <c r="AH841">
        <v>0</v>
      </c>
      <c r="AI841" t="s">
        <v>68</v>
      </c>
      <c r="AJ841" t="s">
        <v>69</v>
      </c>
      <c r="AK841" t="s">
        <v>70</v>
      </c>
    </row>
    <row r="842" spans="1:37" x14ac:dyDescent="0.2">
      <c r="A842">
        <v>35</v>
      </c>
      <c r="B842" t="s">
        <v>43</v>
      </c>
      <c r="C842" t="s">
        <v>67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v>0</v>
      </c>
      <c r="AH842">
        <v>0</v>
      </c>
      <c r="AI842" t="s">
        <v>68</v>
      </c>
      <c r="AJ842" t="s">
        <v>74</v>
      </c>
      <c r="AK842" t="s">
        <v>70</v>
      </c>
    </row>
    <row r="843" spans="1:37" x14ac:dyDescent="0.2">
      <c r="A843">
        <v>24</v>
      </c>
      <c r="B843" t="s">
        <v>43</v>
      </c>
      <c r="C843" t="s">
        <v>67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v>0</v>
      </c>
      <c r="AH843">
        <v>0</v>
      </c>
      <c r="AI843" t="s">
        <v>80</v>
      </c>
      <c r="AJ843" t="s">
        <v>69</v>
      </c>
      <c r="AK843" t="s">
        <v>77</v>
      </c>
    </row>
    <row r="844" spans="1:37" x14ac:dyDescent="0.2">
      <c r="A844">
        <v>28</v>
      </c>
      <c r="B844" t="s">
        <v>35</v>
      </c>
      <c r="C844" t="s">
        <v>67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1</v>
      </c>
      <c r="AI844" t="s">
        <v>76</v>
      </c>
      <c r="AJ844" t="s">
        <v>74</v>
      </c>
      <c r="AK844" t="s">
        <v>75</v>
      </c>
    </row>
    <row r="845" spans="1:37" x14ac:dyDescent="0.2">
      <c r="A845">
        <v>26</v>
      </c>
      <c r="B845" t="s">
        <v>43</v>
      </c>
      <c r="C845" t="s">
        <v>67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v>0</v>
      </c>
      <c r="AH845">
        <v>0</v>
      </c>
      <c r="AI845" t="s">
        <v>76</v>
      </c>
      <c r="AJ845" t="s">
        <v>69</v>
      </c>
      <c r="AK845" t="s">
        <v>70</v>
      </c>
    </row>
    <row r="846" spans="1:37" x14ac:dyDescent="0.2">
      <c r="A846">
        <v>30</v>
      </c>
      <c r="B846" t="s">
        <v>43</v>
      </c>
      <c r="C846" t="s">
        <v>67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v>0</v>
      </c>
      <c r="AH846">
        <v>0</v>
      </c>
      <c r="AI846" t="s">
        <v>76</v>
      </c>
      <c r="AJ846" t="s">
        <v>79</v>
      </c>
      <c r="AK846" t="s">
        <v>73</v>
      </c>
    </row>
    <row r="847" spans="1:37" x14ac:dyDescent="0.2">
      <c r="A847">
        <v>40</v>
      </c>
      <c r="B847" t="s">
        <v>43</v>
      </c>
      <c r="C847" t="s">
        <v>71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1</v>
      </c>
      <c r="AI847" t="s">
        <v>68</v>
      </c>
      <c r="AJ847" t="s">
        <v>69</v>
      </c>
      <c r="AK847" t="s">
        <v>75</v>
      </c>
    </row>
    <row r="848" spans="1:37" x14ac:dyDescent="0.2">
      <c r="A848">
        <v>35</v>
      </c>
      <c r="B848" t="s">
        <v>43</v>
      </c>
      <c r="C848" t="s">
        <v>67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v>0</v>
      </c>
      <c r="AH848">
        <v>0</v>
      </c>
      <c r="AI848" t="s">
        <v>68</v>
      </c>
      <c r="AJ848" t="s">
        <v>81</v>
      </c>
      <c r="AK848" t="s">
        <v>70</v>
      </c>
    </row>
    <row r="849" spans="1:37" x14ac:dyDescent="0.2">
      <c r="A849">
        <v>34</v>
      </c>
      <c r="B849" t="s">
        <v>43</v>
      </c>
      <c r="C849" t="s">
        <v>71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v>0</v>
      </c>
      <c r="AH849">
        <v>0</v>
      </c>
      <c r="AI849" t="s">
        <v>76</v>
      </c>
      <c r="AJ849" t="s">
        <v>69</v>
      </c>
      <c r="AK849" t="s">
        <v>73</v>
      </c>
    </row>
    <row r="850" spans="1:37" x14ac:dyDescent="0.2">
      <c r="A850">
        <v>35</v>
      </c>
      <c r="B850" t="s">
        <v>43</v>
      </c>
      <c r="C850" t="s">
        <v>71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v>0</v>
      </c>
      <c r="AH850">
        <v>0</v>
      </c>
      <c r="AI850" t="s">
        <v>68</v>
      </c>
      <c r="AJ850" t="s">
        <v>74</v>
      </c>
      <c r="AK850" t="s">
        <v>77</v>
      </c>
    </row>
    <row r="851" spans="1:37" x14ac:dyDescent="0.2">
      <c r="A851">
        <v>43</v>
      </c>
      <c r="B851" t="s">
        <v>35</v>
      </c>
      <c r="C851" t="s">
        <v>67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v>1</v>
      </c>
      <c r="AH851">
        <v>0</v>
      </c>
      <c r="AI851" t="s">
        <v>68</v>
      </c>
      <c r="AJ851" t="s">
        <v>69</v>
      </c>
      <c r="AK851" t="s">
        <v>77</v>
      </c>
    </row>
    <row r="852" spans="1:37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76</v>
      </c>
      <c r="AJ852" t="s">
        <v>74</v>
      </c>
      <c r="AK852" t="s">
        <v>75</v>
      </c>
    </row>
    <row r="853" spans="1:37" x14ac:dyDescent="0.2">
      <c r="A853">
        <v>56</v>
      </c>
      <c r="B853" t="s">
        <v>43</v>
      </c>
      <c r="C853" t="s">
        <v>67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v>0</v>
      </c>
      <c r="AH853">
        <v>0</v>
      </c>
      <c r="AI853" t="s">
        <v>78</v>
      </c>
      <c r="AJ853" t="s">
        <v>81</v>
      </c>
      <c r="AK853" t="s">
        <v>70</v>
      </c>
    </row>
    <row r="854" spans="1:37" x14ac:dyDescent="0.2">
      <c r="A854">
        <v>29</v>
      </c>
      <c r="B854" t="s">
        <v>43</v>
      </c>
      <c r="C854" t="s">
        <v>67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v>0</v>
      </c>
      <c r="AH854">
        <v>0</v>
      </c>
      <c r="AI854" t="s">
        <v>76</v>
      </c>
      <c r="AJ854" t="s">
        <v>69</v>
      </c>
      <c r="AK854" t="s">
        <v>73</v>
      </c>
    </row>
    <row r="855" spans="1:37" x14ac:dyDescent="0.2">
      <c r="A855">
        <v>19</v>
      </c>
      <c r="B855" t="s">
        <v>43</v>
      </c>
      <c r="C855" t="s">
        <v>67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v>0</v>
      </c>
      <c r="AH855">
        <v>0</v>
      </c>
      <c r="AI855" t="s">
        <v>80</v>
      </c>
      <c r="AJ855" t="s">
        <v>74</v>
      </c>
      <c r="AK855" t="s">
        <v>75</v>
      </c>
    </row>
    <row r="856" spans="1:37" x14ac:dyDescent="0.2">
      <c r="A856">
        <v>45</v>
      </c>
      <c r="B856" t="s">
        <v>43</v>
      </c>
      <c r="C856" t="s">
        <v>67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v>0</v>
      </c>
      <c r="AH856">
        <v>1</v>
      </c>
      <c r="AI856" t="s">
        <v>72</v>
      </c>
      <c r="AJ856" t="s">
        <v>69</v>
      </c>
      <c r="AK856" t="s">
        <v>77</v>
      </c>
    </row>
    <row r="857" spans="1:37" x14ac:dyDescent="0.2">
      <c r="A857">
        <v>37</v>
      </c>
      <c r="B857" t="s">
        <v>43</v>
      </c>
      <c r="C857" t="s">
        <v>67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v>0</v>
      </c>
      <c r="AH857">
        <v>0</v>
      </c>
      <c r="AI857" t="s">
        <v>68</v>
      </c>
      <c r="AJ857" t="s">
        <v>79</v>
      </c>
      <c r="AK857" t="s">
        <v>73</v>
      </c>
    </row>
    <row r="858" spans="1:37" x14ac:dyDescent="0.2">
      <c r="A858">
        <v>20</v>
      </c>
      <c r="B858" t="s">
        <v>43</v>
      </c>
      <c r="C858" t="s">
        <v>67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v>0</v>
      </c>
      <c r="AH858">
        <v>0</v>
      </c>
      <c r="AI858" t="s">
        <v>80</v>
      </c>
      <c r="AJ858" t="s">
        <v>69</v>
      </c>
      <c r="AK858" t="s">
        <v>77</v>
      </c>
    </row>
    <row r="859" spans="1:37" x14ac:dyDescent="0.2">
      <c r="A859">
        <v>44</v>
      </c>
      <c r="B859" t="s">
        <v>35</v>
      </c>
      <c r="C859" t="s">
        <v>67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v>1</v>
      </c>
      <c r="AH859">
        <v>1</v>
      </c>
      <c r="AI859" t="s">
        <v>68</v>
      </c>
      <c r="AJ859" t="s">
        <v>74</v>
      </c>
      <c r="AK859" t="s">
        <v>70</v>
      </c>
    </row>
    <row r="860" spans="1:37" x14ac:dyDescent="0.2">
      <c r="A860">
        <v>53</v>
      </c>
      <c r="B860" t="s">
        <v>43</v>
      </c>
      <c r="C860" t="s">
        <v>67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v>0</v>
      </c>
      <c r="AH860">
        <v>0</v>
      </c>
      <c r="AI860" t="s">
        <v>72</v>
      </c>
      <c r="AJ860" t="s">
        <v>81</v>
      </c>
      <c r="AK860" t="s">
        <v>70</v>
      </c>
    </row>
    <row r="861" spans="1:37" x14ac:dyDescent="0.2">
      <c r="A861">
        <v>29</v>
      </c>
      <c r="B861" t="s">
        <v>43</v>
      </c>
      <c r="C861" t="s">
        <v>67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v>0</v>
      </c>
      <c r="AH861">
        <v>1</v>
      </c>
      <c r="AI861" t="s">
        <v>76</v>
      </c>
      <c r="AJ861" t="s">
        <v>74</v>
      </c>
      <c r="AK861" t="s">
        <v>70</v>
      </c>
    </row>
    <row r="862" spans="1:37" x14ac:dyDescent="0.2">
      <c r="A862">
        <v>22</v>
      </c>
      <c r="B862" t="s">
        <v>35</v>
      </c>
      <c r="C862" t="s">
        <v>71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1</v>
      </c>
      <c r="AI862" t="s">
        <v>80</v>
      </c>
      <c r="AJ862" t="s">
        <v>74</v>
      </c>
      <c r="AK862" t="s">
        <v>75</v>
      </c>
    </row>
    <row r="863" spans="1:37" x14ac:dyDescent="0.2">
      <c r="A863">
        <v>46</v>
      </c>
      <c r="B863" t="s">
        <v>43</v>
      </c>
      <c r="C863" t="s">
        <v>67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v>0</v>
      </c>
      <c r="AH863">
        <v>0</v>
      </c>
      <c r="AI863" t="s">
        <v>72</v>
      </c>
      <c r="AJ863" t="s">
        <v>81</v>
      </c>
      <c r="AK863" t="s">
        <v>73</v>
      </c>
    </row>
    <row r="864" spans="1:37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68</v>
      </c>
      <c r="AJ864" t="s">
        <v>74</v>
      </c>
      <c r="AK864" t="s">
        <v>75</v>
      </c>
    </row>
    <row r="865" spans="1:37" x14ac:dyDescent="0.2">
      <c r="A865">
        <v>33</v>
      </c>
      <c r="B865" t="s">
        <v>43</v>
      </c>
      <c r="C865" t="s">
        <v>67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v>0</v>
      </c>
      <c r="AH865">
        <v>0</v>
      </c>
      <c r="AI865" t="s">
        <v>76</v>
      </c>
      <c r="AJ865" t="s">
        <v>69</v>
      </c>
      <c r="AK865" t="s">
        <v>70</v>
      </c>
    </row>
    <row r="866" spans="1:37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0</v>
      </c>
      <c r="AI866" t="s">
        <v>68</v>
      </c>
      <c r="AJ866" t="s">
        <v>74</v>
      </c>
      <c r="AK866" t="s">
        <v>75</v>
      </c>
    </row>
    <row r="867" spans="1:37" x14ac:dyDescent="0.2">
      <c r="A867">
        <v>30</v>
      </c>
      <c r="B867" t="s">
        <v>43</v>
      </c>
      <c r="C867" t="s">
        <v>67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v>0</v>
      </c>
      <c r="AH867">
        <v>0</v>
      </c>
      <c r="AI867" t="s">
        <v>76</v>
      </c>
      <c r="AJ867" t="s">
        <v>69</v>
      </c>
      <c r="AK867" t="s">
        <v>77</v>
      </c>
    </row>
    <row r="868" spans="1:37" x14ac:dyDescent="0.2">
      <c r="A868">
        <v>40</v>
      </c>
      <c r="B868" t="s">
        <v>43</v>
      </c>
      <c r="C868" t="s">
        <v>71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68</v>
      </c>
      <c r="AJ868" t="s">
        <v>69</v>
      </c>
      <c r="AK868" t="s">
        <v>75</v>
      </c>
    </row>
    <row r="869" spans="1:37" x14ac:dyDescent="0.2">
      <c r="A869">
        <v>50</v>
      </c>
      <c r="B869" t="s">
        <v>43</v>
      </c>
      <c r="C869" t="s">
        <v>71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v>0</v>
      </c>
      <c r="AH869">
        <v>0</v>
      </c>
      <c r="AI869" t="s">
        <v>72</v>
      </c>
      <c r="AJ869" t="s">
        <v>81</v>
      </c>
      <c r="AK869" t="s">
        <v>77</v>
      </c>
    </row>
    <row r="870" spans="1:37" x14ac:dyDescent="0.2">
      <c r="A870">
        <v>28</v>
      </c>
      <c r="B870" t="s">
        <v>43</v>
      </c>
      <c r="C870" t="s">
        <v>67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v>0</v>
      </c>
      <c r="AH870">
        <v>0</v>
      </c>
      <c r="AI870" t="s">
        <v>76</v>
      </c>
      <c r="AJ870" t="s">
        <v>69</v>
      </c>
      <c r="AK870" t="s">
        <v>70</v>
      </c>
    </row>
    <row r="871" spans="1:37" x14ac:dyDescent="0.2">
      <c r="A871">
        <v>46</v>
      </c>
      <c r="B871" t="s">
        <v>43</v>
      </c>
      <c r="C871" t="s">
        <v>67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v>0</v>
      </c>
      <c r="AH871">
        <v>0</v>
      </c>
      <c r="AI871" t="s">
        <v>72</v>
      </c>
      <c r="AJ871" t="s">
        <v>81</v>
      </c>
      <c r="AK871" t="s">
        <v>77</v>
      </c>
    </row>
    <row r="872" spans="1:37" x14ac:dyDescent="0.2">
      <c r="A872">
        <v>35</v>
      </c>
      <c r="B872" t="s">
        <v>43</v>
      </c>
      <c r="C872" t="s">
        <v>67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v>0</v>
      </c>
      <c r="AH872">
        <v>1</v>
      </c>
      <c r="AI872" t="s">
        <v>68</v>
      </c>
      <c r="AJ872" t="s">
        <v>79</v>
      </c>
      <c r="AK872" t="s">
        <v>70</v>
      </c>
    </row>
    <row r="873" spans="1:37" x14ac:dyDescent="0.2">
      <c r="A873">
        <v>24</v>
      </c>
      <c r="B873" t="s">
        <v>35</v>
      </c>
      <c r="C873" t="s">
        <v>67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1</v>
      </c>
      <c r="AH873">
        <v>0</v>
      </c>
      <c r="AI873" t="s">
        <v>80</v>
      </c>
      <c r="AJ873" t="s">
        <v>74</v>
      </c>
      <c r="AK873" t="s">
        <v>75</v>
      </c>
    </row>
    <row r="874" spans="1:37" x14ac:dyDescent="0.2">
      <c r="A874">
        <v>33</v>
      </c>
      <c r="B874" t="s">
        <v>43</v>
      </c>
      <c r="C874" t="s">
        <v>71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v>0</v>
      </c>
      <c r="AH874">
        <v>0</v>
      </c>
      <c r="AI874" t="s">
        <v>76</v>
      </c>
      <c r="AJ874" t="s">
        <v>69</v>
      </c>
      <c r="AK874" t="s">
        <v>73</v>
      </c>
    </row>
    <row r="875" spans="1:37" x14ac:dyDescent="0.2">
      <c r="A875">
        <v>36</v>
      </c>
      <c r="B875" t="s">
        <v>43</v>
      </c>
      <c r="C875" t="s">
        <v>67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v>0</v>
      </c>
      <c r="AH875">
        <v>0</v>
      </c>
      <c r="AI875" t="s">
        <v>68</v>
      </c>
      <c r="AJ875" t="s">
        <v>74</v>
      </c>
      <c r="AK875" t="s">
        <v>70</v>
      </c>
    </row>
    <row r="876" spans="1:37" x14ac:dyDescent="0.2">
      <c r="A876">
        <v>30</v>
      </c>
      <c r="B876" t="s">
        <v>43</v>
      </c>
      <c r="C876" t="s">
        <v>67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v>0</v>
      </c>
      <c r="AH876">
        <v>0</v>
      </c>
      <c r="AI876" t="s">
        <v>76</v>
      </c>
      <c r="AJ876" t="s">
        <v>69</v>
      </c>
      <c r="AK876" t="s">
        <v>73</v>
      </c>
    </row>
    <row r="877" spans="1:37" x14ac:dyDescent="0.2">
      <c r="A877">
        <v>44</v>
      </c>
      <c r="B877" t="s">
        <v>43</v>
      </c>
      <c r="C877" t="s">
        <v>67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v>0</v>
      </c>
      <c r="AH877">
        <v>0</v>
      </c>
      <c r="AI877" t="s">
        <v>68</v>
      </c>
      <c r="AJ877" t="s">
        <v>69</v>
      </c>
      <c r="AK877" t="s">
        <v>73</v>
      </c>
    </row>
    <row r="878" spans="1:37" x14ac:dyDescent="0.2">
      <c r="A878">
        <v>20</v>
      </c>
      <c r="B878" t="s">
        <v>43</v>
      </c>
      <c r="C878" t="s">
        <v>67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v>0</v>
      </c>
      <c r="AH878">
        <v>0</v>
      </c>
      <c r="AI878" t="s">
        <v>80</v>
      </c>
      <c r="AJ878" t="s">
        <v>74</v>
      </c>
      <c r="AK878" t="s">
        <v>77</v>
      </c>
    </row>
    <row r="879" spans="1:37" x14ac:dyDescent="0.2">
      <c r="A879">
        <v>46</v>
      </c>
      <c r="B879" t="s">
        <v>43</v>
      </c>
      <c r="C879" t="s">
        <v>67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v>0</v>
      </c>
      <c r="AH879">
        <v>0</v>
      </c>
      <c r="AI879" t="s">
        <v>72</v>
      </c>
      <c r="AJ879" t="s">
        <v>79</v>
      </c>
      <c r="AK879" t="s">
        <v>70</v>
      </c>
    </row>
    <row r="880" spans="1:37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v>0</v>
      </c>
      <c r="AH880">
        <v>0</v>
      </c>
      <c r="AI880" t="s">
        <v>68</v>
      </c>
      <c r="AJ880" t="s">
        <v>79</v>
      </c>
      <c r="AK880" t="s">
        <v>77</v>
      </c>
    </row>
    <row r="881" spans="1:37" x14ac:dyDescent="0.2">
      <c r="A881">
        <v>60</v>
      </c>
      <c r="B881" t="s">
        <v>43</v>
      </c>
      <c r="C881" t="s">
        <v>67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v>0</v>
      </c>
      <c r="AH881">
        <v>1</v>
      </c>
      <c r="AI881" t="s">
        <v>78</v>
      </c>
      <c r="AJ881" t="s">
        <v>69</v>
      </c>
      <c r="AK881" t="s">
        <v>73</v>
      </c>
    </row>
    <row r="882" spans="1:37" x14ac:dyDescent="0.2">
      <c r="A882">
        <v>32</v>
      </c>
      <c r="B882" t="s">
        <v>43</v>
      </c>
      <c r="C882" t="s">
        <v>71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v>0</v>
      </c>
      <c r="AH882">
        <v>0</v>
      </c>
      <c r="AI882" t="s">
        <v>76</v>
      </c>
      <c r="AJ882" t="s">
        <v>74</v>
      </c>
      <c r="AK882" t="s">
        <v>77</v>
      </c>
    </row>
    <row r="883" spans="1:37" x14ac:dyDescent="0.2">
      <c r="A883">
        <v>32</v>
      </c>
      <c r="B883" t="s">
        <v>43</v>
      </c>
      <c r="C883" t="s">
        <v>71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v>0</v>
      </c>
      <c r="AH883">
        <v>1</v>
      </c>
      <c r="AI883" t="s">
        <v>76</v>
      </c>
      <c r="AJ883" t="s">
        <v>69</v>
      </c>
      <c r="AK883" t="s">
        <v>70</v>
      </c>
    </row>
    <row r="884" spans="1:37" x14ac:dyDescent="0.2">
      <c r="A884">
        <v>36</v>
      </c>
      <c r="B884" t="s">
        <v>43</v>
      </c>
      <c r="C884" t="s">
        <v>67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v>0</v>
      </c>
      <c r="AH884">
        <v>1</v>
      </c>
      <c r="AI884" t="s">
        <v>68</v>
      </c>
      <c r="AJ884" t="s">
        <v>81</v>
      </c>
      <c r="AK884" t="s">
        <v>70</v>
      </c>
    </row>
    <row r="885" spans="1:37" x14ac:dyDescent="0.2">
      <c r="A885">
        <v>33</v>
      </c>
      <c r="B885" t="s">
        <v>43</v>
      </c>
      <c r="C885" t="s">
        <v>67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v>0</v>
      </c>
      <c r="AH885">
        <v>0</v>
      </c>
      <c r="AI885" t="s">
        <v>76</v>
      </c>
      <c r="AJ885" t="s">
        <v>74</v>
      </c>
      <c r="AK885" t="s">
        <v>73</v>
      </c>
    </row>
    <row r="886" spans="1:37" x14ac:dyDescent="0.2">
      <c r="A886">
        <v>40</v>
      </c>
      <c r="B886" t="s">
        <v>43</v>
      </c>
      <c r="C886" t="s">
        <v>67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v>0</v>
      </c>
      <c r="AH886">
        <v>0</v>
      </c>
      <c r="AI886" t="s">
        <v>68</v>
      </c>
      <c r="AJ886" t="s">
        <v>79</v>
      </c>
      <c r="AK886" t="s">
        <v>70</v>
      </c>
    </row>
    <row r="887" spans="1:37" x14ac:dyDescent="0.2">
      <c r="A887">
        <v>25</v>
      </c>
      <c r="B887" t="s">
        <v>43</v>
      </c>
      <c r="C887" t="s">
        <v>67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v>0</v>
      </c>
      <c r="AH887">
        <v>0</v>
      </c>
      <c r="AI887" t="s">
        <v>76</v>
      </c>
      <c r="AJ887" t="s">
        <v>69</v>
      </c>
      <c r="AK887" t="s">
        <v>77</v>
      </c>
    </row>
    <row r="888" spans="1:37" x14ac:dyDescent="0.2">
      <c r="A888">
        <v>30</v>
      </c>
      <c r="B888" t="s">
        <v>43</v>
      </c>
      <c r="C888" t="s">
        <v>67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v>0</v>
      </c>
      <c r="AH888">
        <v>1</v>
      </c>
      <c r="AI888" t="s">
        <v>76</v>
      </c>
      <c r="AJ888" t="s">
        <v>69</v>
      </c>
      <c r="AK888" t="s">
        <v>73</v>
      </c>
    </row>
    <row r="889" spans="1:37" x14ac:dyDescent="0.2">
      <c r="A889">
        <v>42</v>
      </c>
      <c r="B889" t="s">
        <v>43</v>
      </c>
      <c r="C889" t="s">
        <v>71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1</v>
      </c>
      <c r="AI889" t="s">
        <v>68</v>
      </c>
      <c r="AJ889" t="s">
        <v>81</v>
      </c>
      <c r="AK889" t="s">
        <v>75</v>
      </c>
    </row>
    <row r="890" spans="1:37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v>0</v>
      </c>
      <c r="AH890">
        <v>1</v>
      </c>
      <c r="AI890" t="s">
        <v>68</v>
      </c>
      <c r="AJ890" t="s">
        <v>81</v>
      </c>
      <c r="AK890" t="s">
        <v>73</v>
      </c>
    </row>
    <row r="891" spans="1:37" x14ac:dyDescent="0.2">
      <c r="A891">
        <v>27</v>
      </c>
      <c r="B891" t="s">
        <v>43</v>
      </c>
      <c r="C891" t="s">
        <v>67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v>0</v>
      </c>
      <c r="AH891">
        <v>1</v>
      </c>
      <c r="AI891" t="s">
        <v>76</v>
      </c>
      <c r="AJ891" t="s">
        <v>74</v>
      </c>
      <c r="AK891" t="s">
        <v>70</v>
      </c>
    </row>
    <row r="892" spans="1:37" x14ac:dyDescent="0.2">
      <c r="A892">
        <v>54</v>
      </c>
      <c r="B892" t="s">
        <v>43</v>
      </c>
      <c r="C892" t="s">
        <v>71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v>0</v>
      </c>
      <c r="AH892">
        <v>0</v>
      </c>
      <c r="AI892" t="s">
        <v>72</v>
      </c>
      <c r="AJ892" t="s">
        <v>81</v>
      </c>
      <c r="AK892" t="s">
        <v>70</v>
      </c>
    </row>
    <row r="893" spans="1:37" x14ac:dyDescent="0.2">
      <c r="A893">
        <v>44</v>
      </c>
      <c r="B893" t="s">
        <v>43</v>
      </c>
      <c r="C893" t="s">
        <v>67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v>0</v>
      </c>
      <c r="AH893">
        <v>0</v>
      </c>
      <c r="AI893" t="s">
        <v>68</v>
      </c>
      <c r="AJ893" t="s">
        <v>74</v>
      </c>
      <c r="AK893" t="s">
        <v>73</v>
      </c>
    </row>
    <row r="894" spans="1:37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v>1</v>
      </c>
      <c r="AH894">
        <v>1</v>
      </c>
      <c r="AI894" t="s">
        <v>80</v>
      </c>
      <c r="AJ894" t="s">
        <v>74</v>
      </c>
      <c r="AK894" t="s">
        <v>75</v>
      </c>
    </row>
    <row r="895" spans="1:37" x14ac:dyDescent="0.2">
      <c r="A895">
        <v>29</v>
      </c>
      <c r="B895" t="s">
        <v>43</v>
      </c>
      <c r="C895" t="s">
        <v>67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v>0</v>
      </c>
      <c r="AH895">
        <v>0</v>
      </c>
      <c r="AI895" t="s">
        <v>76</v>
      </c>
      <c r="AJ895" t="s">
        <v>69</v>
      </c>
      <c r="AK895" t="s">
        <v>77</v>
      </c>
    </row>
    <row r="896" spans="1:37" x14ac:dyDescent="0.2">
      <c r="A896">
        <v>54</v>
      </c>
      <c r="B896" t="s">
        <v>43</v>
      </c>
      <c r="C896" t="s">
        <v>67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v>0</v>
      </c>
      <c r="AH896">
        <v>0</v>
      </c>
      <c r="AI896" t="s">
        <v>72</v>
      </c>
      <c r="AJ896" t="s">
        <v>81</v>
      </c>
      <c r="AK896" t="s">
        <v>73</v>
      </c>
    </row>
    <row r="897" spans="1:37" x14ac:dyDescent="0.2">
      <c r="A897">
        <v>31</v>
      </c>
      <c r="B897" t="s">
        <v>43</v>
      </c>
      <c r="C897" t="s">
        <v>67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v>0</v>
      </c>
      <c r="AH897">
        <v>1</v>
      </c>
      <c r="AI897" t="s">
        <v>76</v>
      </c>
      <c r="AJ897" t="s">
        <v>79</v>
      </c>
      <c r="AK897" t="s">
        <v>70</v>
      </c>
    </row>
    <row r="898" spans="1:37" x14ac:dyDescent="0.2">
      <c r="A898">
        <v>31</v>
      </c>
      <c r="B898" t="s">
        <v>43</v>
      </c>
      <c r="C898" t="s">
        <v>67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v>0</v>
      </c>
      <c r="AH898">
        <v>0</v>
      </c>
      <c r="AI898" t="s">
        <v>76</v>
      </c>
      <c r="AJ898" t="s">
        <v>79</v>
      </c>
      <c r="AK898" t="s">
        <v>73</v>
      </c>
    </row>
    <row r="899" spans="1:37" x14ac:dyDescent="0.2">
      <c r="A899">
        <v>59</v>
      </c>
      <c r="B899" t="s">
        <v>43</v>
      </c>
      <c r="C899" t="s">
        <v>67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v>0</v>
      </c>
      <c r="AH899">
        <v>0</v>
      </c>
      <c r="AI899" t="s">
        <v>78</v>
      </c>
      <c r="AJ899" t="s">
        <v>69</v>
      </c>
      <c r="AK899" t="s">
        <v>70</v>
      </c>
    </row>
    <row r="900" spans="1:37" x14ac:dyDescent="0.2">
      <c r="A900">
        <v>43</v>
      </c>
      <c r="B900" t="s">
        <v>43</v>
      </c>
      <c r="C900" t="s">
        <v>67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v>0</v>
      </c>
      <c r="AH900">
        <v>0</v>
      </c>
      <c r="AI900" t="s">
        <v>68</v>
      </c>
      <c r="AJ900" t="s">
        <v>81</v>
      </c>
      <c r="AK900" t="s">
        <v>70</v>
      </c>
    </row>
    <row r="901" spans="1:37" x14ac:dyDescent="0.2">
      <c r="A901">
        <v>49</v>
      </c>
      <c r="B901" t="s">
        <v>43</v>
      </c>
      <c r="C901" t="s">
        <v>67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72</v>
      </c>
      <c r="AJ901" t="s">
        <v>81</v>
      </c>
      <c r="AK901" t="s">
        <v>75</v>
      </c>
    </row>
    <row r="902" spans="1:37" x14ac:dyDescent="0.2">
      <c r="A902">
        <v>36</v>
      </c>
      <c r="B902" t="s">
        <v>43</v>
      </c>
      <c r="C902" t="s">
        <v>71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v>0</v>
      </c>
      <c r="AH902">
        <v>0</v>
      </c>
      <c r="AI902" t="s">
        <v>68</v>
      </c>
      <c r="AJ902" t="s">
        <v>69</v>
      </c>
      <c r="AK902" t="s">
        <v>73</v>
      </c>
    </row>
    <row r="903" spans="1:37" x14ac:dyDescent="0.2">
      <c r="A903">
        <v>48</v>
      </c>
      <c r="B903" t="s">
        <v>43</v>
      </c>
      <c r="C903" t="s">
        <v>67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72</v>
      </c>
      <c r="AJ903" t="s">
        <v>74</v>
      </c>
      <c r="AK903" t="s">
        <v>75</v>
      </c>
    </row>
    <row r="904" spans="1:37" x14ac:dyDescent="0.2">
      <c r="A904">
        <v>27</v>
      </c>
      <c r="B904" t="s">
        <v>43</v>
      </c>
      <c r="C904" t="s">
        <v>67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v>0</v>
      </c>
      <c r="AH904">
        <v>0</v>
      </c>
      <c r="AI904" t="s">
        <v>76</v>
      </c>
      <c r="AJ904" t="s">
        <v>74</v>
      </c>
      <c r="AK904" t="s">
        <v>70</v>
      </c>
    </row>
    <row r="905" spans="1:37" x14ac:dyDescent="0.2">
      <c r="A905">
        <v>29</v>
      </c>
      <c r="B905" t="s">
        <v>43</v>
      </c>
      <c r="C905" t="s">
        <v>67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v>0</v>
      </c>
      <c r="AH905">
        <v>1</v>
      </c>
      <c r="AI905" t="s">
        <v>76</v>
      </c>
      <c r="AJ905" t="s">
        <v>79</v>
      </c>
      <c r="AK905" t="s">
        <v>70</v>
      </c>
    </row>
    <row r="906" spans="1:37" x14ac:dyDescent="0.2">
      <c r="A906">
        <v>48</v>
      </c>
      <c r="B906" t="s">
        <v>43</v>
      </c>
      <c r="C906" t="s">
        <v>67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72</v>
      </c>
      <c r="AJ906" t="s">
        <v>81</v>
      </c>
      <c r="AK906" t="s">
        <v>75</v>
      </c>
    </row>
    <row r="907" spans="1:37" x14ac:dyDescent="0.2">
      <c r="A907">
        <v>29</v>
      </c>
      <c r="B907" t="s">
        <v>43</v>
      </c>
      <c r="C907" t="s">
        <v>67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v>0</v>
      </c>
      <c r="AH907">
        <v>0</v>
      </c>
      <c r="AI907" t="s">
        <v>76</v>
      </c>
      <c r="AJ907" t="s">
        <v>81</v>
      </c>
      <c r="AK907" t="s">
        <v>70</v>
      </c>
    </row>
    <row r="908" spans="1:37" x14ac:dyDescent="0.2">
      <c r="A908">
        <v>34</v>
      </c>
      <c r="B908" t="s">
        <v>43</v>
      </c>
      <c r="C908" t="s">
        <v>67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76</v>
      </c>
      <c r="AJ908" t="s">
        <v>74</v>
      </c>
      <c r="AK908" t="s">
        <v>75</v>
      </c>
    </row>
    <row r="909" spans="1:37" x14ac:dyDescent="0.2">
      <c r="A909">
        <v>44</v>
      </c>
      <c r="B909" t="s">
        <v>43</v>
      </c>
      <c r="C909" t="s">
        <v>67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v>0</v>
      </c>
      <c r="AH909">
        <v>0</v>
      </c>
      <c r="AI909" t="s">
        <v>68</v>
      </c>
      <c r="AJ909" t="s">
        <v>81</v>
      </c>
      <c r="AK909" t="s">
        <v>73</v>
      </c>
    </row>
    <row r="910" spans="1:37" x14ac:dyDescent="0.2">
      <c r="A910">
        <v>33</v>
      </c>
      <c r="B910" t="s">
        <v>43</v>
      </c>
      <c r="C910" t="s">
        <v>67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v>0</v>
      </c>
      <c r="AH910">
        <v>1</v>
      </c>
      <c r="AI910" t="s">
        <v>76</v>
      </c>
      <c r="AJ910" t="s">
        <v>79</v>
      </c>
      <c r="AK910" t="s">
        <v>70</v>
      </c>
    </row>
    <row r="911" spans="1:37" x14ac:dyDescent="0.2">
      <c r="A911">
        <v>19</v>
      </c>
      <c r="B911" t="s">
        <v>43</v>
      </c>
      <c r="C911" t="s">
        <v>67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v>0</v>
      </c>
      <c r="AH911">
        <v>1</v>
      </c>
      <c r="AI911" t="s">
        <v>80</v>
      </c>
      <c r="AJ911" t="s">
        <v>74</v>
      </c>
      <c r="AK911" t="s">
        <v>75</v>
      </c>
    </row>
    <row r="912" spans="1:37" x14ac:dyDescent="0.2">
      <c r="A912">
        <v>23</v>
      </c>
      <c r="B912" t="s">
        <v>43</v>
      </c>
      <c r="C912" t="s">
        <v>67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</v>
      </c>
      <c r="AI912" t="s">
        <v>80</v>
      </c>
      <c r="AJ912" t="s">
        <v>74</v>
      </c>
      <c r="AK912" t="s">
        <v>75</v>
      </c>
    </row>
    <row r="913" spans="1:37" x14ac:dyDescent="0.2">
      <c r="A913">
        <v>25</v>
      </c>
      <c r="B913" t="s">
        <v>35</v>
      </c>
      <c r="C913" t="s">
        <v>71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v>1</v>
      </c>
      <c r="AH913">
        <v>1</v>
      </c>
      <c r="AI913" t="s">
        <v>76</v>
      </c>
      <c r="AJ913" t="s">
        <v>74</v>
      </c>
      <c r="AK913" t="s">
        <v>75</v>
      </c>
    </row>
    <row r="914" spans="1:37" x14ac:dyDescent="0.2">
      <c r="A914">
        <v>26</v>
      </c>
      <c r="B914" t="s">
        <v>43</v>
      </c>
      <c r="C914" t="s">
        <v>67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v>0</v>
      </c>
      <c r="AH914">
        <v>1</v>
      </c>
      <c r="AI914" t="s">
        <v>76</v>
      </c>
      <c r="AJ914" t="s">
        <v>74</v>
      </c>
      <c r="AK914" t="s">
        <v>70</v>
      </c>
    </row>
    <row r="915" spans="1:37" x14ac:dyDescent="0.2">
      <c r="A915">
        <v>45</v>
      </c>
      <c r="B915" t="s">
        <v>35</v>
      </c>
      <c r="C915" t="s">
        <v>67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v>1</v>
      </c>
      <c r="AH915">
        <v>1</v>
      </c>
      <c r="AI915" t="s">
        <v>72</v>
      </c>
      <c r="AJ915" t="s">
        <v>81</v>
      </c>
      <c r="AK915" t="s">
        <v>73</v>
      </c>
    </row>
    <row r="916" spans="1:37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v>0</v>
      </c>
      <c r="AH916">
        <v>1</v>
      </c>
      <c r="AI916" t="s">
        <v>78</v>
      </c>
      <c r="AJ916" t="s">
        <v>81</v>
      </c>
      <c r="AK916" t="s">
        <v>73</v>
      </c>
    </row>
    <row r="917" spans="1:37" x14ac:dyDescent="0.2">
      <c r="A917">
        <v>21</v>
      </c>
      <c r="B917" t="s">
        <v>35</v>
      </c>
      <c r="C917" t="s">
        <v>71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0</v>
      </c>
      <c r="AI917" t="s">
        <v>80</v>
      </c>
      <c r="AJ917" t="s">
        <v>74</v>
      </c>
      <c r="AK917" t="s">
        <v>77</v>
      </c>
    </row>
    <row r="918" spans="1:37" x14ac:dyDescent="0.2">
      <c r="A918">
        <v>46</v>
      </c>
      <c r="B918" t="s">
        <v>43</v>
      </c>
      <c r="C918" t="s">
        <v>67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v>0</v>
      </c>
      <c r="AH918">
        <v>0</v>
      </c>
      <c r="AI918" t="s">
        <v>72</v>
      </c>
      <c r="AJ918" t="s">
        <v>81</v>
      </c>
      <c r="AK918" t="s">
        <v>73</v>
      </c>
    </row>
    <row r="919" spans="1:37" x14ac:dyDescent="0.2">
      <c r="A919">
        <v>34</v>
      </c>
      <c r="B919" t="s">
        <v>43</v>
      </c>
      <c r="C919" t="s">
        <v>67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v>0</v>
      </c>
      <c r="AH919">
        <v>1</v>
      </c>
      <c r="AI919" t="s">
        <v>76</v>
      </c>
      <c r="AJ919" t="s">
        <v>69</v>
      </c>
      <c r="AK919" t="s">
        <v>77</v>
      </c>
    </row>
    <row r="920" spans="1:37" x14ac:dyDescent="0.2">
      <c r="A920">
        <v>51</v>
      </c>
      <c r="B920" t="s">
        <v>43</v>
      </c>
      <c r="C920" t="s">
        <v>71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v>0</v>
      </c>
      <c r="AH920">
        <v>1</v>
      </c>
      <c r="AI920" t="s">
        <v>72</v>
      </c>
      <c r="AJ920" t="s">
        <v>81</v>
      </c>
      <c r="AK920" t="s">
        <v>73</v>
      </c>
    </row>
    <row r="921" spans="1:37" x14ac:dyDescent="0.2">
      <c r="A921">
        <v>59</v>
      </c>
      <c r="B921" t="s">
        <v>43</v>
      </c>
      <c r="C921" t="s">
        <v>67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v>0</v>
      </c>
      <c r="AH921">
        <v>0</v>
      </c>
      <c r="AI921" t="s">
        <v>78</v>
      </c>
      <c r="AJ921" t="s">
        <v>81</v>
      </c>
      <c r="AK921" t="s">
        <v>70</v>
      </c>
    </row>
    <row r="922" spans="1:37" x14ac:dyDescent="0.2">
      <c r="A922">
        <v>34</v>
      </c>
      <c r="B922" t="s">
        <v>43</v>
      </c>
      <c r="C922" t="s">
        <v>71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v>0</v>
      </c>
      <c r="AH922">
        <v>0</v>
      </c>
      <c r="AI922" t="s">
        <v>76</v>
      </c>
      <c r="AJ922" t="s">
        <v>69</v>
      </c>
      <c r="AK922" t="s">
        <v>73</v>
      </c>
    </row>
    <row r="923" spans="1:37" x14ac:dyDescent="0.2">
      <c r="A923">
        <v>28</v>
      </c>
      <c r="B923" t="s">
        <v>43</v>
      </c>
      <c r="C923" t="s">
        <v>71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v>0</v>
      </c>
      <c r="AH923">
        <v>1</v>
      </c>
      <c r="AI923" t="s">
        <v>76</v>
      </c>
      <c r="AJ923" t="s">
        <v>74</v>
      </c>
      <c r="AK923" t="s">
        <v>77</v>
      </c>
    </row>
    <row r="924" spans="1:37" x14ac:dyDescent="0.2">
      <c r="A924">
        <v>44</v>
      </c>
      <c r="B924" t="s">
        <v>43</v>
      </c>
      <c r="C924" t="s">
        <v>67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v>0</v>
      </c>
      <c r="AH924">
        <v>0</v>
      </c>
      <c r="AI924" t="s">
        <v>68</v>
      </c>
      <c r="AJ924" t="s">
        <v>81</v>
      </c>
      <c r="AK924" t="s">
        <v>73</v>
      </c>
    </row>
    <row r="925" spans="1:37" x14ac:dyDescent="0.2">
      <c r="A925">
        <v>34</v>
      </c>
      <c r="B925" t="s">
        <v>43</v>
      </c>
      <c r="C925" t="s">
        <v>71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v>0</v>
      </c>
      <c r="AH925">
        <v>0</v>
      </c>
      <c r="AI925" t="s">
        <v>76</v>
      </c>
      <c r="AJ925" t="s">
        <v>69</v>
      </c>
      <c r="AK925" t="s">
        <v>73</v>
      </c>
    </row>
    <row r="926" spans="1:37" x14ac:dyDescent="0.2">
      <c r="A926">
        <v>35</v>
      </c>
      <c r="B926" t="s">
        <v>43</v>
      </c>
      <c r="C926" t="s">
        <v>67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v>0</v>
      </c>
      <c r="AH926">
        <v>1</v>
      </c>
      <c r="AI926" t="s">
        <v>68</v>
      </c>
      <c r="AJ926" t="s">
        <v>69</v>
      </c>
      <c r="AK926" t="s">
        <v>77</v>
      </c>
    </row>
    <row r="927" spans="1:37" x14ac:dyDescent="0.2">
      <c r="A927">
        <v>42</v>
      </c>
      <c r="B927" t="s">
        <v>43</v>
      </c>
      <c r="C927" t="s">
        <v>67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1</v>
      </c>
      <c r="AI927" t="s">
        <v>68</v>
      </c>
      <c r="AJ927" t="s">
        <v>74</v>
      </c>
      <c r="AK927" t="s">
        <v>75</v>
      </c>
    </row>
    <row r="928" spans="1:37" x14ac:dyDescent="0.2">
      <c r="A928">
        <v>43</v>
      </c>
      <c r="B928" t="s">
        <v>43</v>
      </c>
      <c r="C928" t="s">
        <v>67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v>0</v>
      </c>
      <c r="AH928">
        <v>0</v>
      </c>
      <c r="AI928" t="s">
        <v>68</v>
      </c>
      <c r="AJ928" t="s">
        <v>81</v>
      </c>
      <c r="AK928" t="s">
        <v>73</v>
      </c>
    </row>
    <row r="929" spans="1:37" x14ac:dyDescent="0.2">
      <c r="A929">
        <v>36</v>
      </c>
      <c r="B929" t="s">
        <v>43</v>
      </c>
      <c r="C929" t="s">
        <v>67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v>0</v>
      </c>
      <c r="AH929">
        <v>1</v>
      </c>
      <c r="AI929" t="s">
        <v>68</v>
      </c>
      <c r="AJ929" t="s">
        <v>69</v>
      </c>
      <c r="AK929" t="s">
        <v>73</v>
      </c>
    </row>
    <row r="930" spans="1:37" x14ac:dyDescent="0.2">
      <c r="A930">
        <v>44</v>
      </c>
      <c r="B930" t="s">
        <v>35</v>
      </c>
      <c r="C930" t="s">
        <v>67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v>1</v>
      </c>
      <c r="AH930">
        <v>0</v>
      </c>
      <c r="AI930" t="s">
        <v>68</v>
      </c>
      <c r="AJ930" t="s">
        <v>79</v>
      </c>
      <c r="AK930" t="s">
        <v>73</v>
      </c>
    </row>
    <row r="931" spans="1:37" x14ac:dyDescent="0.2">
      <c r="A931">
        <v>28</v>
      </c>
      <c r="B931" t="s">
        <v>43</v>
      </c>
      <c r="C931" t="s">
        <v>71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v>0</v>
      </c>
      <c r="AH931">
        <v>1</v>
      </c>
      <c r="AI931" t="s">
        <v>76</v>
      </c>
      <c r="AJ931" t="s">
        <v>69</v>
      </c>
      <c r="AK931" t="s">
        <v>77</v>
      </c>
    </row>
    <row r="932" spans="1:37" x14ac:dyDescent="0.2">
      <c r="A932">
        <v>51</v>
      </c>
      <c r="B932" t="s">
        <v>43</v>
      </c>
      <c r="C932" t="s">
        <v>71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v>0</v>
      </c>
      <c r="AH932">
        <v>0</v>
      </c>
      <c r="AI932" t="s">
        <v>72</v>
      </c>
      <c r="AJ932" t="s">
        <v>74</v>
      </c>
      <c r="AK932" t="s">
        <v>70</v>
      </c>
    </row>
    <row r="933" spans="1:37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v>0</v>
      </c>
      <c r="AH933">
        <v>1</v>
      </c>
      <c r="AI933" t="s">
        <v>76</v>
      </c>
      <c r="AJ933" t="s">
        <v>69</v>
      </c>
      <c r="AK933" t="s">
        <v>70</v>
      </c>
    </row>
    <row r="934" spans="1:37" x14ac:dyDescent="0.2">
      <c r="A934">
        <v>29</v>
      </c>
      <c r="B934" t="s">
        <v>35</v>
      </c>
      <c r="C934" t="s">
        <v>67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v>1</v>
      </c>
      <c r="AH934">
        <v>1</v>
      </c>
      <c r="AI934" t="s">
        <v>76</v>
      </c>
      <c r="AJ934" t="s">
        <v>69</v>
      </c>
      <c r="AK934" t="s">
        <v>70</v>
      </c>
    </row>
    <row r="935" spans="1:37" x14ac:dyDescent="0.2">
      <c r="A935">
        <v>28</v>
      </c>
      <c r="B935" t="s">
        <v>43</v>
      </c>
      <c r="C935" t="s">
        <v>67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v>0</v>
      </c>
      <c r="AH935">
        <v>0</v>
      </c>
      <c r="AI935" t="s">
        <v>76</v>
      </c>
      <c r="AJ935" t="s">
        <v>74</v>
      </c>
      <c r="AK935" t="s">
        <v>77</v>
      </c>
    </row>
    <row r="936" spans="1:37" x14ac:dyDescent="0.2">
      <c r="A936">
        <v>25</v>
      </c>
      <c r="B936" t="s">
        <v>43</v>
      </c>
      <c r="C936" t="s">
        <v>67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v>0</v>
      </c>
      <c r="AH936">
        <v>0</v>
      </c>
      <c r="AI936" t="s">
        <v>76</v>
      </c>
      <c r="AJ936" t="s">
        <v>74</v>
      </c>
      <c r="AK936" t="s">
        <v>77</v>
      </c>
    </row>
    <row r="937" spans="1:37" x14ac:dyDescent="0.2">
      <c r="A937">
        <v>32</v>
      </c>
      <c r="B937" t="s">
        <v>43</v>
      </c>
      <c r="C937" t="s">
        <v>67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v>0</v>
      </c>
      <c r="AH937">
        <v>0</v>
      </c>
      <c r="AI937" t="s">
        <v>76</v>
      </c>
      <c r="AJ937" t="s">
        <v>79</v>
      </c>
      <c r="AK937" t="s">
        <v>73</v>
      </c>
    </row>
    <row r="938" spans="1:37" x14ac:dyDescent="0.2">
      <c r="A938">
        <v>45</v>
      </c>
      <c r="B938" t="s">
        <v>43</v>
      </c>
      <c r="C938" t="s">
        <v>71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72</v>
      </c>
      <c r="AJ938" t="s">
        <v>81</v>
      </c>
      <c r="AK938" t="s">
        <v>75</v>
      </c>
    </row>
    <row r="939" spans="1:37" x14ac:dyDescent="0.2">
      <c r="A939">
        <v>39</v>
      </c>
      <c r="B939" t="s">
        <v>43</v>
      </c>
      <c r="C939" t="s">
        <v>67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v>0</v>
      </c>
      <c r="AH939">
        <v>1</v>
      </c>
      <c r="AI939" t="s">
        <v>68</v>
      </c>
      <c r="AJ939" t="s">
        <v>81</v>
      </c>
      <c r="AK939" t="s">
        <v>73</v>
      </c>
    </row>
    <row r="940" spans="1:37" x14ac:dyDescent="0.2">
      <c r="A940">
        <v>58</v>
      </c>
      <c r="B940" t="s">
        <v>43</v>
      </c>
      <c r="C940" t="s">
        <v>67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v>0</v>
      </c>
      <c r="AH940">
        <v>0</v>
      </c>
      <c r="AI940" t="s">
        <v>78</v>
      </c>
      <c r="AJ940" t="s">
        <v>74</v>
      </c>
      <c r="AK940" t="s">
        <v>77</v>
      </c>
    </row>
    <row r="941" spans="1:37" x14ac:dyDescent="0.2">
      <c r="A941">
        <v>32</v>
      </c>
      <c r="B941" t="s">
        <v>35</v>
      </c>
      <c r="C941" t="s">
        <v>67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v>1</v>
      </c>
      <c r="AH941">
        <v>0</v>
      </c>
      <c r="AI941" t="s">
        <v>76</v>
      </c>
      <c r="AJ941" t="s">
        <v>69</v>
      </c>
      <c r="AK941" t="s">
        <v>73</v>
      </c>
    </row>
    <row r="942" spans="1:37" x14ac:dyDescent="0.2">
      <c r="A942">
        <v>39</v>
      </c>
      <c r="B942" t="s">
        <v>35</v>
      </c>
      <c r="C942" t="s">
        <v>67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v>1</v>
      </c>
      <c r="AH942">
        <v>0</v>
      </c>
      <c r="AI942" t="s">
        <v>68</v>
      </c>
      <c r="AJ942" t="s">
        <v>69</v>
      </c>
      <c r="AK942" t="s">
        <v>70</v>
      </c>
    </row>
    <row r="943" spans="1:37" x14ac:dyDescent="0.2">
      <c r="A943">
        <v>30</v>
      </c>
      <c r="B943" t="s">
        <v>43</v>
      </c>
      <c r="C943" t="s">
        <v>67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v>0</v>
      </c>
      <c r="AH943">
        <v>0</v>
      </c>
      <c r="AI943" t="s">
        <v>76</v>
      </c>
      <c r="AJ943" t="s">
        <v>69</v>
      </c>
      <c r="AK943" t="s">
        <v>70</v>
      </c>
    </row>
    <row r="944" spans="1:37" x14ac:dyDescent="0.2">
      <c r="A944">
        <v>36</v>
      </c>
      <c r="B944" t="s">
        <v>43</v>
      </c>
      <c r="C944" t="s">
        <v>67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v>0</v>
      </c>
      <c r="AH944">
        <v>0</v>
      </c>
      <c r="AI944" t="s">
        <v>68</v>
      </c>
      <c r="AJ944" t="s">
        <v>79</v>
      </c>
      <c r="AK944" t="s">
        <v>70</v>
      </c>
    </row>
    <row r="945" spans="1:37" x14ac:dyDescent="0.2">
      <c r="A945">
        <v>46</v>
      </c>
      <c r="B945" t="s">
        <v>43</v>
      </c>
      <c r="C945" t="s">
        <v>67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v>0</v>
      </c>
      <c r="AH945">
        <v>0</v>
      </c>
      <c r="AI945" t="s">
        <v>72</v>
      </c>
      <c r="AJ945" t="s">
        <v>69</v>
      </c>
      <c r="AK945" t="s">
        <v>70</v>
      </c>
    </row>
    <row r="946" spans="1:37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v>0</v>
      </c>
      <c r="AH946">
        <v>0</v>
      </c>
      <c r="AI946" t="s">
        <v>76</v>
      </c>
      <c r="AJ946" t="s">
        <v>79</v>
      </c>
      <c r="AK946" t="s">
        <v>70</v>
      </c>
    </row>
    <row r="947" spans="1:37" x14ac:dyDescent="0.2">
      <c r="A947">
        <v>50</v>
      </c>
      <c r="B947" t="s">
        <v>43</v>
      </c>
      <c r="C947" t="s">
        <v>67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v>0</v>
      </c>
      <c r="AH947">
        <v>1</v>
      </c>
      <c r="AI947" t="s">
        <v>72</v>
      </c>
      <c r="AJ947" t="s">
        <v>81</v>
      </c>
      <c r="AK947" t="s">
        <v>77</v>
      </c>
    </row>
    <row r="948" spans="1:37" x14ac:dyDescent="0.2">
      <c r="A948">
        <v>40</v>
      </c>
      <c r="B948" t="s">
        <v>35</v>
      </c>
      <c r="C948" t="s">
        <v>67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v>1</v>
      </c>
      <c r="AH948">
        <v>1</v>
      </c>
      <c r="AI948" t="s">
        <v>68</v>
      </c>
      <c r="AJ948" t="s">
        <v>79</v>
      </c>
      <c r="AK948" t="s">
        <v>70</v>
      </c>
    </row>
    <row r="949" spans="1:37" x14ac:dyDescent="0.2">
      <c r="A949">
        <v>52</v>
      </c>
      <c r="B949" t="s">
        <v>35</v>
      </c>
      <c r="C949" t="s">
        <v>67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v>1</v>
      </c>
      <c r="AH949">
        <v>1</v>
      </c>
      <c r="AI949" t="s">
        <v>72</v>
      </c>
      <c r="AJ949" t="s">
        <v>79</v>
      </c>
      <c r="AK949" t="s">
        <v>70</v>
      </c>
    </row>
    <row r="950" spans="1:37" x14ac:dyDescent="0.2">
      <c r="A950">
        <v>30</v>
      </c>
      <c r="B950" t="s">
        <v>43</v>
      </c>
      <c r="C950" t="s">
        <v>67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v>0</v>
      </c>
      <c r="AH950">
        <v>1</v>
      </c>
      <c r="AI950" t="s">
        <v>76</v>
      </c>
      <c r="AJ950" t="s">
        <v>81</v>
      </c>
      <c r="AK950" t="s">
        <v>70</v>
      </c>
    </row>
    <row r="951" spans="1:37" x14ac:dyDescent="0.2">
      <c r="A951">
        <v>39</v>
      </c>
      <c r="B951" t="s">
        <v>43</v>
      </c>
      <c r="C951" t="s">
        <v>67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v>0</v>
      </c>
      <c r="AH951">
        <v>0</v>
      </c>
      <c r="AI951" t="s">
        <v>68</v>
      </c>
      <c r="AJ951" t="s">
        <v>69</v>
      </c>
      <c r="AK951" t="s">
        <v>70</v>
      </c>
    </row>
    <row r="952" spans="1:37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v>0</v>
      </c>
      <c r="AH952">
        <v>1</v>
      </c>
      <c r="AI952" t="s">
        <v>76</v>
      </c>
      <c r="AJ952" t="s">
        <v>79</v>
      </c>
      <c r="AK952" t="s">
        <v>73</v>
      </c>
    </row>
    <row r="953" spans="1:37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v>0</v>
      </c>
      <c r="AH953">
        <v>0</v>
      </c>
      <c r="AI953" t="s">
        <v>68</v>
      </c>
      <c r="AJ953" t="s">
        <v>79</v>
      </c>
      <c r="AK953" t="s">
        <v>73</v>
      </c>
    </row>
    <row r="954" spans="1:37" x14ac:dyDescent="0.2">
      <c r="A954">
        <v>31</v>
      </c>
      <c r="B954" t="s">
        <v>35</v>
      </c>
      <c r="C954" t="s">
        <v>71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v>1</v>
      </c>
      <c r="AH954">
        <v>1</v>
      </c>
      <c r="AI954" t="s">
        <v>76</v>
      </c>
      <c r="AJ954" t="s">
        <v>74</v>
      </c>
      <c r="AK954" t="s">
        <v>77</v>
      </c>
    </row>
    <row r="955" spans="1:37" x14ac:dyDescent="0.2">
      <c r="A955">
        <v>44</v>
      </c>
      <c r="B955" t="s">
        <v>35</v>
      </c>
      <c r="C955" t="s">
        <v>67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v>1</v>
      </c>
      <c r="AH955">
        <v>0</v>
      </c>
      <c r="AI955" t="s">
        <v>68</v>
      </c>
      <c r="AJ955" t="s">
        <v>74</v>
      </c>
      <c r="AK955" t="s">
        <v>77</v>
      </c>
    </row>
    <row r="956" spans="1:37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v>0</v>
      </c>
      <c r="AH956">
        <v>1</v>
      </c>
      <c r="AI956" t="s">
        <v>68</v>
      </c>
      <c r="AJ956" t="s">
        <v>81</v>
      </c>
      <c r="AK956" t="s">
        <v>73</v>
      </c>
    </row>
    <row r="957" spans="1:37" x14ac:dyDescent="0.2">
      <c r="A957">
        <v>55</v>
      </c>
      <c r="B957" t="s">
        <v>43</v>
      </c>
      <c r="C957" t="s">
        <v>67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v>0</v>
      </c>
      <c r="AH957">
        <v>0</v>
      </c>
      <c r="AI957" t="s">
        <v>78</v>
      </c>
      <c r="AJ957" t="s">
        <v>81</v>
      </c>
      <c r="AK957" t="s">
        <v>73</v>
      </c>
    </row>
    <row r="958" spans="1:37" x14ac:dyDescent="0.2">
      <c r="A958">
        <v>56</v>
      </c>
      <c r="B958" t="s">
        <v>43</v>
      </c>
      <c r="C958" t="s">
        <v>67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v>0</v>
      </c>
      <c r="AH958">
        <v>0</v>
      </c>
      <c r="AI958" t="s">
        <v>78</v>
      </c>
      <c r="AJ958" t="s">
        <v>81</v>
      </c>
      <c r="AK958" t="s">
        <v>70</v>
      </c>
    </row>
    <row r="959" spans="1:37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v>0</v>
      </c>
      <c r="AH959">
        <v>0</v>
      </c>
      <c r="AI959" t="s">
        <v>68</v>
      </c>
      <c r="AJ959" t="s">
        <v>69</v>
      </c>
      <c r="AK959" t="s">
        <v>77</v>
      </c>
    </row>
    <row r="960" spans="1:37" x14ac:dyDescent="0.2">
      <c r="A960">
        <v>34</v>
      </c>
      <c r="B960" t="s">
        <v>43</v>
      </c>
      <c r="C960" t="s">
        <v>67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v>0</v>
      </c>
      <c r="AH960">
        <v>0</v>
      </c>
      <c r="AI960" t="s">
        <v>76</v>
      </c>
      <c r="AJ960" t="s">
        <v>79</v>
      </c>
      <c r="AK960" t="s">
        <v>70</v>
      </c>
    </row>
    <row r="961" spans="1:37" x14ac:dyDescent="0.2">
      <c r="A961">
        <v>40</v>
      </c>
      <c r="B961" t="s">
        <v>43</v>
      </c>
      <c r="C961" t="s">
        <v>67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v>0</v>
      </c>
      <c r="AH961">
        <v>0</v>
      </c>
      <c r="AI961" t="s">
        <v>68</v>
      </c>
      <c r="AJ961" t="s">
        <v>69</v>
      </c>
      <c r="AK961" t="s">
        <v>70</v>
      </c>
    </row>
    <row r="962" spans="1:37" x14ac:dyDescent="0.2">
      <c r="A962">
        <v>41</v>
      </c>
      <c r="B962" t="s">
        <v>43</v>
      </c>
      <c r="C962" t="s">
        <v>71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v>0</v>
      </c>
      <c r="AH962">
        <v>0</v>
      </c>
      <c r="AI962" t="s">
        <v>68</v>
      </c>
      <c r="AJ962" t="s">
        <v>69</v>
      </c>
      <c r="AK962" t="s">
        <v>70</v>
      </c>
    </row>
    <row r="963" spans="1:37" x14ac:dyDescent="0.2">
      <c r="A963">
        <v>35</v>
      </c>
      <c r="B963" t="s">
        <v>43</v>
      </c>
      <c r="C963" t="s">
        <v>71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v>0</v>
      </c>
      <c r="AH963">
        <v>1</v>
      </c>
      <c r="AI963" t="s">
        <v>68</v>
      </c>
      <c r="AJ963" t="s">
        <v>69</v>
      </c>
      <c r="AK963" t="s">
        <v>70</v>
      </c>
    </row>
    <row r="964" spans="1:37" x14ac:dyDescent="0.2">
      <c r="A964">
        <v>51</v>
      </c>
      <c r="B964" t="s">
        <v>43</v>
      </c>
      <c r="C964" t="s">
        <v>67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v>0</v>
      </c>
      <c r="AH964">
        <v>1</v>
      </c>
      <c r="AI964" t="s">
        <v>72</v>
      </c>
      <c r="AJ964" t="s">
        <v>81</v>
      </c>
      <c r="AK964" t="s">
        <v>73</v>
      </c>
    </row>
    <row r="965" spans="1:37" x14ac:dyDescent="0.2">
      <c r="A965">
        <v>38</v>
      </c>
      <c r="B965" t="s">
        <v>43</v>
      </c>
      <c r="C965" t="s">
        <v>67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v>0</v>
      </c>
      <c r="AH965">
        <v>0</v>
      </c>
      <c r="AI965" t="s">
        <v>68</v>
      </c>
      <c r="AJ965" t="s">
        <v>79</v>
      </c>
      <c r="AK965" t="s">
        <v>70</v>
      </c>
    </row>
    <row r="966" spans="1:37" x14ac:dyDescent="0.2">
      <c r="A966">
        <v>34</v>
      </c>
      <c r="B966" t="s">
        <v>43</v>
      </c>
      <c r="C966" t="s">
        <v>67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v>0</v>
      </c>
      <c r="AH966">
        <v>0</v>
      </c>
      <c r="AI966" t="s">
        <v>76</v>
      </c>
      <c r="AJ966" t="s">
        <v>79</v>
      </c>
      <c r="AK966" t="s">
        <v>73</v>
      </c>
    </row>
    <row r="967" spans="1:37" x14ac:dyDescent="0.2">
      <c r="A967">
        <v>25</v>
      </c>
      <c r="B967" t="s">
        <v>43</v>
      </c>
      <c r="C967" t="s">
        <v>67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v>0</v>
      </c>
      <c r="AH967">
        <v>0</v>
      </c>
      <c r="AI967" t="s">
        <v>76</v>
      </c>
      <c r="AJ967" t="s">
        <v>69</v>
      </c>
      <c r="AK967" t="s">
        <v>77</v>
      </c>
    </row>
    <row r="968" spans="1:37" x14ac:dyDescent="0.2">
      <c r="A968">
        <v>58</v>
      </c>
      <c r="B968" t="s">
        <v>35</v>
      </c>
      <c r="C968" t="s">
        <v>67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v>1</v>
      </c>
      <c r="AH968">
        <v>1</v>
      </c>
      <c r="AI968" t="s">
        <v>78</v>
      </c>
      <c r="AJ968" t="s">
        <v>81</v>
      </c>
      <c r="AK968" t="s">
        <v>73</v>
      </c>
    </row>
    <row r="969" spans="1:37" x14ac:dyDescent="0.2">
      <c r="A969">
        <v>40</v>
      </c>
      <c r="B969" t="s">
        <v>43</v>
      </c>
      <c r="C969" t="s">
        <v>67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v>0</v>
      </c>
      <c r="AH969">
        <v>0</v>
      </c>
      <c r="AI969" t="s">
        <v>68</v>
      </c>
      <c r="AJ969" t="s">
        <v>74</v>
      </c>
      <c r="AK969" t="s">
        <v>77</v>
      </c>
    </row>
    <row r="970" spans="1:37" x14ac:dyDescent="0.2">
      <c r="A970">
        <v>36</v>
      </c>
      <c r="B970" t="s">
        <v>43</v>
      </c>
      <c r="C970" t="s">
        <v>71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v>0</v>
      </c>
      <c r="AH970">
        <v>0</v>
      </c>
      <c r="AI970" t="s">
        <v>68</v>
      </c>
      <c r="AJ970" t="s">
        <v>69</v>
      </c>
      <c r="AK970" t="s">
        <v>73</v>
      </c>
    </row>
    <row r="971" spans="1:37" x14ac:dyDescent="0.2">
      <c r="A971">
        <v>48</v>
      </c>
      <c r="B971" t="s">
        <v>43</v>
      </c>
      <c r="C971" t="s">
        <v>67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v>0</v>
      </c>
      <c r="AH971">
        <v>0</v>
      </c>
      <c r="AI971" t="s">
        <v>72</v>
      </c>
      <c r="AJ971" t="s">
        <v>79</v>
      </c>
      <c r="AK971" t="s">
        <v>73</v>
      </c>
    </row>
    <row r="972" spans="1:37" x14ac:dyDescent="0.2">
      <c r="A972">
        <v>27</v>
      </c>
      <c r="B972" t="s">
        <v>43</v>
      </c>
      <c r="C972" t="s">
        <v>67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76</v>
      </c>
      <c r="AJ972" t="s">
        <v>74</v>
      </c>
      <c r="AK972" t="s">
        <v>75</v>
      </c>
    </row>
    <row r="973" spans="1:37" x14ac:dyDescent="0.2">
      <c r="A973">
        <v>51</v>
      </c>
      <c r="B973" t="s">
        <v>43</v>
      </c>
      <c r="C973" t="s">
        <v>67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v>0</v>
      </c>
      <c r="AH973">
        <v>0</v>
      </c>
      <c r="AI973" t="s">
        <v>72</v>
      </c>
      <c r="AJ973" t="s">
        <v>81</v>
      </c>
      <c r="AK973" t="s">
        <v>70</v>
      </c>
    </row>
    <row r="974" spans="1:37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80</v>
      </c>
      <c r="AJ974" t="s">
        <v>74</v>
      </c>
      <c r="AK974" t="s">
        <v>75</v>
      </c>
    </row>
    <row r="975" spans="1:37" x14ac:dyDescent="0.2">
      <c r="A975">
        <v>35</v>
      </c>
      <c r="B975" t="s">
        <v>43</v>
      </c>
      <c r="C975" t="s">
        <v>67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v>0</v>
      </c>
      <c r="AH975">
        <v>0</v>
      </c>
      <c r="AI975" t="s">
        <v>68</v>
      </c>
      <c r="AJ975" t="s">
        <v>69</v>
      </c>
      <c r="AK975" t="s">
        <v>70</v>
      </c>
    </row>
    <row r="976" spans="1:37" x14ac:dyDescent="0.2">
      <c r="A976">
        <v>27</v>
      </c>
      <c r="B976" t="s">
        <v>43</v>
      </c>
      <c r="C976" t="s">
        <v>71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v>0</v>
      </c>
      <c r="AH976">
        <v>0</v>
      </c>
      <c r="AI976" t="s">
        <v>76</v>
      </c>
      <c r="AJ976" t="s">
        <v>69</v>
      </c>
      <c r="AK976" t="s">
        <v>70</v>
      </c>
    </row>
    <row r="977" spans="1:37" x14ac:dyDescent="0.2">
      <c r="A977">
        <v>55</v>
      </c>
      <c r="B977" t="s">
        <v>35</v>
      </c>
      <c r="C977" t="s">
        <v>67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v>1</v>
      </c>
      <c r="AH977">
        <v>1</v>
      </c>
      <c r="AI977" t="s">
        <v>78</v>
      </c>
      <c r="AJ977" t="s">
        <v>81</v>
      </c>
      <c r="AK977" t="s">
        <v>73</v>
      </c>
    </row>
    <row r="978" spans="1:37" x14ac:dyDescent="0.2">
      <c r="A978">
        <v>56</v>
      </c>
      <c r="B978" t="s">
        <v>43</v>
      </c>
      <c r="C978" t="s">
        <v>67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v>0</v>
      </c>
      <c r="AH978">
        <v>1</v>
      </c>
      <c r="AI978" t="s">
        <v>78</v>
      </c>
      <c r="AJ978" t="s">
        <v>81</v>
      </c>
      <c r="AK978" t="s">
        <v>73</v>
      </c>
    </row>
    <row r="979" spans="1:37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v>0</v>
      </c>
      <c r="AH979">
        <v>0</v>
      </c>
      <c r="AI979" t="s">
        <v>76</v>
      </c>
      <c r="AJ979" t="s">
        <v>74</v>
      </c>
      <c r="AK979" t="s">
        <v>70</v>
      </c>
    </row>
    <row r="980" spans="1:37" x14ac:dyDescent="0.2">
      <c r="A980">
        <v>40</v>
      </c>
      <c r="B980" t="s">
        <v>43</v>
      </c>
      <c r="C980" t="s">
        <v>67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v>0</v>
      </c>
      <c r="AH980">
        <v>0</v>
      </c>
      <c r="AI980" t="s">
        <v>68</v>
      </c>
      <c r="AJ980" t="s">
        <v>79</v>
      </c>
      <c r="AK980" t="s">
        <v>73</v>
      </c>
    </row>
    <row r="981" spans="1:37" x14ac:dyDescent="0.2">
      <c r="A981">
        <v>34</v>
      </c>
      <c r="B981" t="s">
        <v>43</v>
      </c>
      <c r="C981" t="s">
        <v>67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v>0</v>
      </c>
      <c r="AH981">
        <v>0</v>
      </c>
      <c r="AI981" t="s">
        <v>76</v>
      </c>
      <c r="AJ981" t="s">
        <v>69</v>
      </c>
      <c r="AK981" t="s">
        <v>70</v>
      </c>
    </row>
    <row r="982" spans="1:37" x14ac:dyDescent="0.2">
      <c r="A982">
        <v>31</v>
      </c>
      <c r="B982" t="s">
        <v>35</v>
      </c>
      <c r="C982" t="s">
        <v>71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v>1</v>
      </c>
      <c r="AH982">
        <v>0</v>
      </c>
      <c r="AI982" t="s">
        <v>76</v>
      </c>
      <c r="AJ982" t="s">
        <v>74</v>
      </c>
      <c r="AK982" t="s">
        <v>75</v>
      </c>
    </row>
    <row r="983" spans="1:37" x14ac:dyDescent="0.2">
      <c r="A983">
        <v>35</v>
      </c>
      <c r="B983" t="s">
        <v>35</v>
      </c>
      <c r="C983" t="s">
        <v>71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v>1</v>
      </c>
      <c r="AH983">
        <v>1</v>
      </c>
      <c r="AI983" t="s">
        <v>68</v>
      </c>
      <c r="AJ983" t="s">
        <v>69</v>
      </c>
      <c r="AK983" t="s">
        <v>77</v>
      </c>
    </row>
    <row r="984" spans="1:37" x14ac:dyDescent="0.2">
      <c r="A984">
        <v>38</v>
      </c>
      <c r="B984" t="s">
        <v>43</v>
      </c>
      <c r="C984" t="s">
        <v>71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v>0</v>
      </c>
      <c r="AH984">
        <v>0</v>
      </c>
      <c r="AI984" t="s">
        <v>68</v>
      </c>
      <c r="AJ984" t="s">
        <v>74</v>
      </c>
      <c r="AK984" t="s">
        <v>77</v>
      </c>
    </row>
    <row r="985" spans="1:37" x14ac:dyDescent="0.2">
      <c r="A985">
        <v>34</v>
      </c>
      <c r="B985" t="s">
        <v>43</v>
      </c>
      <c r="C985" t="s">
        <v>67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v>0</v>
      </c>
      <c r="AH985">
        <v>0</v>
      </c>
      <c r="AI985" t="s">
        <v>76</v>
      </c>
      <c r="AJ985" t="s">
        <v>79</v>
      </c>
      <c r="AK985" t="s">
        <v>73</v>
      </c>
    </row>
    <row r="986" spans="1:37" x14ac:dyDescent="0.2">
      <c r="A986">
        <v>28</v>
      </c>
      <c r="B986" t="s">
        <v>43</v>
      </c>
      <c r="C986" t="s">
        <v>67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v>0</v>
      </c>
      <c r="AH986">
        <v>0</v>
      </c>
      <c r="AI986" t="s">
        <v>76</v>
      </c>
      <c r="AJ986" t="s">
        <v>69</v>
      </c>
      <c r="AK986" t="s">
        <v>70</v>
      </c>
    </row>
    <row r="987" spans="1:37" x14ac:dyDescent="0.2">
      <c r="A987">
        <v>31</v>
      </c>
      <c r="B987" t="s">
        <v>35</v>
      </c>
      <c r="C987" t="s">
        <v>67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v>1</v>
      </c>
      <c r="AH987">
        <v>1</v>
      </c>
      <c r="AI987" t="s">
        <v>76</v>
      </c>
      <c r="AJ987" t="s">
        <v>79</v>
      </c>
      <c r="AK987" t="s">
        <v>73</v>
      </c>
    </row>
    <row r="988" spans="1:37" x14ac:dyDescent="0.2">
      <c r="A988">
        <v>39</v>
      </c>
      <c r="B988" t="s">
        <v>43</v>
      </c>
      <c r="C988" t="s">
        <v>67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v>0</v>
      </c>
      <c r="AH988">
        <v>1</v>
      </c>
      <c r="AI988" t="s">
        <v>68</v>
      </c>
      <c r="AJ988" t="s">
        <v>79</v>
      </c>
      <c r="AK988" t="s">
        <v>70</v>
      </c>
    </row>
    <row r="989" spans="1:37" x14ac:dyDescent="0.2">
      <c r="A989">
        <v>51</v>
      </c>
      <c r="B989" t="s">
        <v>43</v>
      </c>
      <c r="C989" t="s">
        <v>71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v>0</v>
      </c>
      <c r="AH989">
        <v>0</v>
      </c>
      <c r="AI989" t="s">
        <v>72</v>
      </c>
      <c r="AJ989" t="s">
        <v>81</v>
      </c>
      <c r="AK989" t="s">
        <v>77</v>
      </c>
    </row>
    <row r="990" spans="1:37" x14ac:dyDescent="0.2">
      <c r="A990">
        <v>41</v>
      </c>
      <c r="B990" t="s">
        <v>43</v>
      </c>
      <c r="C990" t="s">
        <v>71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v>0</v>
      </c>
      <c r="AH990">
        <v>1</v>
      </c>
      <c r="AI990" t="s">
        <v>68</v>
      </c>
      <c r="AJ990" t="s">
        <v>69</v>
      </c>
      <c r="AK990" t="s">
        <v>70</v>
      </c>
    </row>
    <row r="991" spans="1:37" x14ac:dyDescent="0.2">
      <c r="A991">
        <v>37</v>
      </c>
      <c r="B991" t="s">
        <v>43</v>
      </c>
      <c r="C991" t="s">
        <v>67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v>0</v>
      </c>
      <c r="AH991">
        <v>1</v>
      </c>
      <c r="AI991" t="s">
        <v>68</v>
      </c>
      <c r="AJ991" t="s">
        <v>74</v>
      </c>
      <c r="AK991" t="s">
        <v>70</v>
      </c>
    </row>
    <row r="992" spans="1:37" x14ac:dyDescent="0.2">
      <c r="A992">
        <v>33</v>
      </c>
      <c r="B992" t="s">
        <v>43</v>
      </c>
      <c r="C992" t="s">
        <v>71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v>0</v>
      </c>
      <c r="AH992">
        <v>0</v>
      </c>
      <c r="AI992" t="s">
        <v>76</v>
      </c>
      <c r="AJ992" t="s">
        <v>79</v>
      </c>
      <c r="AK992" t="s">
        <v>70</v>
      </c>
    </row>
    <row r="993" spans="1:37" x14ac:dyDescent="0.2">
      <c r="A993">
        <v>32</v>
      </c>
      <c r="B993" t="s">
        <v>43</v>
      </c>
      <c r="C993" t="s">
        <v>67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v>0</v>
      </c>
      <c r="AH993">
        <v>1</v>
      </c>
      <c r="AI993" t="s">
        <v>76</v>
      </c>
      <c r="AJ993" t="s">
        <v>69</v>
      </c>
      <c r="AK993" t="s">
        <v>77</v>
      </c>
    </row>
    <row r="994" spans="1:37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v>0</v>
      </c>
      <c r="AH994">
        <v>0</v>
      </c>
      <c r="AI994" t="s">
        <v>68</v>
      </c>
      <c r="AJ994" t="s">
        <v>81</v>
      </c>
      <c r="AK994" t="s">
        <v>70</v>
      </c>
    </row>
    <row r="995" spans="1:37" x14ac:dyDescent="0.2">
      <c r="A995">
        <v>25</v>
      </c>
      <c r="B995" t="s">
        <v>43</v>
      </c>
      <c r="C995" t="s">
        <v>67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v>0</v>
      </c>
      <c r="AH995">
        <v>0</v>
      </c>
      <c r="AI995" t="s">
        <v>76</v>
      </c>
      <c r="AJ995" t="s">
        <v>79</v>
      </c>
      <c r="AK995" t="s">
        <v>77</v>
      </c>
    </row>
    <row r="996" spans="1:37" x14ac:dyDescent="0.2">
      <c r="A996">
        <v>52</v>
      </c>
      <c r="B996" t="s">
        <v>43</v>
      </c>
      <c r="C996" t="s">
        <v>71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v>0</v>
      </c>
      <c r="AH996">
        <v>1</v>
      </c>
      <c r="AI996" t="s">
        <v>72</v>
      </c>
      <c r="AJ996" t="s">
        <v>81</v>
      </c>
      <c r="AK996" t="s">
        <v>70</v>
      </c>
    </row>
    <row r="997" spans="1:37" x14ac:dyDescent="0.2">
      <c r="A997">
        <v>43</v>
      </c>
      <c r="B997" t="s">
        <v>43</v>
      </c>
      <c r="C997" t="s">
        <v>67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v>0</v>
      </c>
      <c r="AH997">
        <v>1</v>
      </c>
      <c r="AI997" t="s">
        <v>68</v>
      </c>
      <c r="AJ997" t="s">
        <v>69</v>
      </c>
      <c r="AK997" t="s">
        <v>73</v>
      </c>
    </row>
    <row r="998" spans="1:37" x14ac:dyDescent="0.2">
      <c r="A998">
        <v>27</v>
      </c>
      <c r="B998" t="s">
        <v>43</v>
      </c>
      <c r="C998" t="s">
        <v>67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v>0</v>
      </c>
      <c r="AH998">
        <v>1</v>
      </c>
      <c r="AI998" t="s">
        <v>76</v>
      </c>
      <c r="AJ998" t="s">
        <v>69</v>
      </c>
      <c r="AK998" t="s">
        <v>70</v>
      </c>
    </row>
    <row r="999" spans="1:37" x14ac:dyDescent="0.2">
      <c r="A999">
        <v>27</v>
      </c>
      <c r="B999" t="s">
        <v>35</v>
      </c>
      <c r="C999" t="s">
        <v>67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v>1</v>
      </c>
      <c r="AH999">
        <v>1</v>
      </c>
      <c r="AI999" t="s">
        <v>76</v>
      </c>
      <c r="AJ999" t="s">
        <v>74</v>
      </c>
      <c r="AK999" t="s">
        <v>70</v>
      </c>
    </row>
    <row r="1000" spans="1:37" x14ac:dyDescent="0.2">
      <c r="A1000">
        <v>26</v>
      </c>
      <c r="B1000" t="s">
        <v>43</v>
      </c>
      <c r="C1000" t="s">
        <v>67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v>0</v>
      </c>
      <c r="AH1000">
        <v>0</v>
      </c>
      <c r="AI1000" t="s">
        <v>76</v>
      </c>
      <c r="AJ1000" t="s">
        <v>69</v>
      </c>
      <c r="AK1000" t="s">
        <v>77</v>
      </c>
    </row>
    <row r="1001" spans="1:37" x14ac:dyDescent="0.2">
      <c r="A1001">
        <v>42</v>
      </c>
      <c r="B1001" t="s">
        <v>43</v>
      </c>
      <c r="C1001" t="s">
        <v>67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v>0</v>
      </c>
      <c r="AH1001">
        <v>0</v>
      </c>
      <c r="AI1001" t="s">
        <v>68</v>
      </c>
      <c r="AJ1001" t="s">
        <v>81</v>
      </c>
      <c r="AK1001" t="s">
        <v>73</v>
      </c>
    </row>
    <row r="1002" spans="1:37" x14ac:dyDescent="0.2">
      <c r="A1002">
        <v>52</v>
      </c>
      <c r="B1002" t="s">
        <v>43</v>
      </c>
      <c r="C1002" t="s">
        <v>67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v>0</v>
      </c>
      <c r="AH1002">
        <v>0</v>
      </c>
      <c r="AI1002" t="s">
        <v>72</v>
      </c>
      <c r="AJ1002" t="s">
        <v>74</v>
      </c>
      <c r="AK1002" t="s">
        <v>70</v>
      </c>
    </row>
    <row r="1003" spans="1:37" x14ac:dyDescent="0.2">
      <c r="A1003">
        <v>37</v>
      </c>
      <c r="B1003" t="s">
        <v>43</v>
      </c>
      <c r="C1003" t="s">
        <v>67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v>0</v>
      </c>
      <c r="AH1003">
        <v>0</v>
      </c>
      <c r="AI1003" t="s">
        <v>68</v>
      </c>
      <c r="AJ1003" t="s">
        <v>69</v>
      </c>
      <c r="AK1003" t="s">
        <v>77</v>
      </c>
    </row>
    <row r="1004" spans="1:37" x14ac:dyDescent="0.2">
      <c r="A1004">
        <v>35</v>
      </c>
      <c r="B1004" t="s">
        <v>43</v>
      </c>
      <c r="C1004" t="s">
        <v>71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v>0</v>
      </c>
      <c r="AH1004">
        <v>0</v>
      </c>
      <c r="AI1004" t="s">
        <v>68</v>
      </c>
      <c r="AJ1004" t="s">
        <v>79</v>
      </c>
      <c r="AK1004" t="s">
        <v>77</v>
      </c>
    </row>
    <row r="1005" spans="1:37" x14ac:dyDescent="0.2">
      <c r="A1005">
        <v>25</v>
      </c>
      <c r="B1005" t="s">
        <v>43</v>
      </c>
      <c r="C1005" t="s">
        <v>67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v>0</v>
      </c>
      <c r="AH1005">
        <v>0</v>
      </c>
      <c r="AI1005" t="s">
        <v>76</v>
      </c>
      <c r="AJ1005" t="s">
        <v>69</v>
      </c>
      <c r="AK1005" t="s">
        <v>77</v>
      </c>
    </row>
    <row r="1006" spans="1:37" x14ac:dyDescent="0.2">
      <c r="A1006">
        <v>26</v>
      </c>
      <c r="B1006" t="s">
        <v>43</v>
      </c>
      <c r="C1006" t="s">
        <v>67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v>0</v>
      </c>
      <c r="AH1006">
        <v>0</v>
      </c>
      <c r="AI1006" t="s">
        <v>76</v>
      </c>
      <c r="AJ1006" t="s">
        <v>69</v>
      </c>
      <c r="AK1006" t="s">
        <v>70</v>
      </c>
    </row>
    <row r="1007" spans="1:37" x14ac:dyDescent="0.2">
      <c r="A1007">
        <v>29</v>
      </c>
      <c r="B1007" t="s">
        <v>43</v>
      </c>
      <c r="C1007" t="s">
        <v>67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v>0</v>
      </c>
      <c r="AH1007">
        <v>0</v>
      </c>
      <c r="AI1007" t="s">
        <v>76</v>
      </c>
      <c r="AJ1007" t="s">
        <v>79</v>
      </c>
      <c r="AK1007" t="s">
        <v>73</v>
      </c>
    </row>
    <row r="1008" spans="1:37" x14ac:dyDescent="0.2">
      <c r="A1008">
        <v>49</v>
      </c>
      <c r="B1008" t="s">
        <v>35</v>
      </c>
      <c r="C1008" t="s">
        <v>71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v>1</v>
      </c>
      <c r="AH1008">
        <v>0</v>
      </c>
      <c r="AI1008" t="s">
        <v>72</v>
      </c>
      <c r="AJ1008" t="s">
        <v>69</v>
      </c>
      <c r="AK1008" t="s">
        <v>77</v>
      </c>
    </row>
    <row r="1009" spans="1:37" x14ac:dyDescent="0.2">
      <c r="A1009">
        <v>29</v>
      </c>
      <c r="B1009" t="s">
        <v>35</v>
      </c>
      <c r="C1009" t="s">
        <v>71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v>1</v>
      </c>
      <c r="AH1009">
        <v>1</v>
      </c>
      <c r="AI1009" t="s">
        <v>76</v>
      </c>
      <c r="AJ1009" t="s">
        <v>79</v>
      </c>
      <c r="AK1009" t="s">
        <v>70</v>
      </c>
    </row>
    <row r="1010" spans="1:37" x14ac:dyDescent="0.2">
      <c r="A1010">
        <v>54</v>
      </c>
      <c r="B1010" t="s">
        <v>43</v>
      </c>
      <c r="C1010" t="s">
        <v>67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v>0</v>
      </c>
      <c r="AH1010">
        <v>0</v>
      </c>
      <c r="AI1010" t="s">
        <v>72</v>
      </c>
      <c r="AJ1010" t="s">
        <v>81</v>
      </c>
      <c r="AK1010" t="s">
        <v>73</v>
      </c>
    </row>
    <row r="1011" spans="1:37" x14ac:dyDescent="0.2">
      <c r="A1011">
        <v>58</v>
      </c>
      <c r="B1011" t="s">
        <v>43</v>
      </c>
      <c r="C1011" t="s">
        <v>67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v>0</v>
      </c>
      <c r="AH1011">
        <v>1</v>
      </c>
      <c r="AI1011" t="s">
        <v>78</v>
      </c>
      <c r="AJ1011" t="s">
        <v>81</v>
      </c>
      <c r="AK1011" t="s">
        <v>70</v>
      </c>
    </row>
    <row r="1012" spans="1:37" x14ac:dyDescent="0.2">
      <c r="A1012">
        <v>55</v>
      </c>
      <c r="B1012" t="s">
        <v>43</v>
      </c>
      <c r="C1012" t="s">
        <v>67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v>0</v>
      </c>
      <c r="AH1012">
        <v>0</v>
      </c>
      <c r="AI1012" t="s">
        <v>78</v>
      </c>
      <c r="AJ1012" t="s">
        <v>81</v>
      </c>
      <c r="AK1012" t="s">
        <v>70</v>
      </c>
    </row>
    <row r="1013" spans="1:37" x14ac:dyDescent="0.2">
      <c r="A1013">
        <v>36</v>
      </c>
      <c r="B1013" t="s">
        <v>43</v>
      </c>
      <c r="C1013" t="s">
        <v>67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v>0</v>
      </c>
      <c r="AH1013">
        <v>1</v>
      </c>
      <c r="AI1013" t="s">
        <v>68</v>
      </c>
      <c r="AJ1013" t="s">
        <v>79</v>
      </c>
      <c r="AK1013" t="s">
        <v>70</v>
      </c>
    </row>
    <row r="1014" spans="1:37" x14ac:dyDescent="0.2">
      <c r="A1014">
        <v>31</v>
      </c>
      <c r="B1014" t="s">
        <v>35</v>
      </c>
      <c r="C1014" t="s">
        <v>71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 t="s">
        <v>76</v>
      </c>
      <c r="AJ1014" t="s">
        <v>74</v>
      </c>
      <c r="AK1014" t="s">
        <v>75</v>
      </c>
    </row>
    <row r="1015" spans="1:37" x14ac:dyDescent="0.2">
      <c r="A1015">
        <v>30</v>
      </c>
      <c r="B1015" t="s">
        <v>43</v>
      </c>
      <c r="C1015" t="s">
        <v>67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v>0</v>
      </c>
      <c r="AH1015">
        <v>0</v>
      </c>
      <c r="AI1015" t="s">
        <v>76</v>
      </c>
      <c r="AJ1015" t="s">
        <v>69</v>
      </c>
      <c r="AK1015" t="s">
        <v>77</v>
      </c>
    </row>
    <row r="1016" spans="1:37" x14ac:dyDescent="0.2">
      <c r="A1016">
        <v>31</v>
      </c>
      <c r="B1016" t="s">
        <v>43</v>
      </c>
      <c r="C1016" t="s">
        <v>67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v>0</v>
      </c>
      <c r="AH1016">
        <v>0</v>
      </c>
      <c r="AI1016" t="s">
        <v>76</v>
      </c>
      <c r="AJ1016" t="s">
        <v>81</v>
      </c>
      <c r="AK1016" t="s">
        <v>77</v>
      </c>
    </row>
    <row r="1017" spans="1:37" x14ac:dyDescent="0.2">
      <c r="A1017">
        <v>34</v>
      </c>
      <c r="B1017" t="s">
        <v>43</v>
      </c>
      <c r="C1017" t="s">
        <v>71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v>0</v>
      </c>
      <c r="AH1017">
        <v>0</v>
      </c>
      <c r="AI1017" t="s">
        <v>76</v>
      </c>
      <c r="AJ1017" t="s">
        <v>74</v>
      </c>
      <c r="AK1017" t="s">
        <v>77</v>
      </c>
    </row>
    <row r="1018" spans="1:37" x14ac:dyDescent="0.2">
      <c r="A1018">
        <v>31</v>
      </c>
      <c r="B1018" t="s">
        <v>35</v>
      </c>
      <c r="C1018" t="s">
        <v>67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 t="s">
        <v>76</v>
      </c>
      <c r="AJ1018" t="s">
        <v>74</v>
      </c>
      <c r="AK1018" t="s">
        <v>75</v>
      </c>
    </row>
    <row r="1019" spans="1:37" x14ac:dyDescent="0.2">
      <c r="A1019">
        <v>27</v>
      </c>
      <c r="B1019" t="s">
        <v>43</v>
      </c>
      <c r="C1019" t="s">
        <v>67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v>0</v>
      </c>
      <c r="AH1019">
        <v>0</v>
      </c>
      <c r="AI1019" t="s">
        <v>76</v>
      </c>
      <c r="AJ1019" t="s">
        <v>74</v>
      </c>
      <c r="AK1019" t="s">
        <v>70</v>
      </c>
    </row>
    <row r="1020" spans="1:37" x14ac:dyDescent="0.2">
      <c r="A1020">
        <v>36</v>
      </c>
      <c r="B1020" t="s">
        <v>43</v>
      </c>
      <c r="C1020" t="s">
        <v>67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v>0</v>
      </c>
      <c r="AH1020">
        <v>0</v>
      </c>
      <c r="AI1020" t="s">
        <v>68</v>
      </c>
      <c r="AJ1020" t="s">
        <v>69</v>
      </c>
      <c r="AK1020" t="s">
        <v>73</v>
      </c>
    </row>
    <row r="1021" spans="1:37" x14ac:dyDescent="0.2">
      <c r="A1021">
        <v>36</v>
      </c>
      <c r="B1021" t="s">
        <v>43</v>
      </c>
      <c r="C1021" t="s">
        <v>67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v>0</v>
      </c>
      <c r="AH1021">
        <v>0</v>
      </c>
      <c r="AI1021" t="s">
        <v>68</v>
      </c>
      <c r="AJ1021" t="s">
        <v>69</v>
      </c>
      <c r="AK1021" t="s">
        <v>77</v>
      </c>
    </row>
    <row r="1022" spans="1:37" x14ac:dyDescent="0.2">
      <c r="A1022">
        <v>47</v>
      </c>
      <c r="B1022" t="s">
        <v>43</v>
      </c>
      <c r="C1022" t="s">
        <v>67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v>0</v>
      </c>
      <c r="AH1022">
        <v>0</v>
      </c>
      <c r="AI1022" t="s">
        <v>72</v>
      </c>
      <c r="AJ1022" t="s">
        <v>69</v>
      </c>
      <c r="AK1022" t="s">
        <v>70</v>
      </c>
    </row>
    <row r="1023" spans="1:37" x14ac:dyDescent="0.2">
      <c r="A1023">
        <v>25</v>
      </c>
      <c r="B1023" t="s">
        <v>35</v>
      </c>
      <c r="C1023" t="s">
        <v>67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v>1</v>
      </c>
      <c r="AH1023">
        <v>0</v>
      </c>
      <c r="AI1023" t="s">
        <v>76</v>
      </c>
      <c r="AJ1023" t="s">
        <v>69</v>
      </c>
      <c r="AK1023" t="s">
        <v>77</v>
      </c>
    </row>
    <row r="1024" spans="1:37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v>0</v>
      </c>
      <c r="AH1024">
        <v>0</v>
      </c>
      <c r="AI1024" t="s">
        <v>68</v>
      </c>
      <c r="AJ1024" t="s">
        <v>69</v>
      </c>
      <c r="AK1024" t="s">
        <v>70</v>
      </c>
    </row>
    <row r="1025" spans="1:37" x14ac:dyDescent="0.2">
      <c r="A1025">
        <v>56</v>
      </c>
      <c r="B1025" t="s">
        <v>43</v>
      </c>
      <c r="C1025" t="s">
        <v>67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v>0</v>
      </c>
      <c r="AH1025">
        <v>0</v>
      </c>
      <c r="AI1025" t="s">
        <v>78</v>
      </c>
      <c r="AJ1025" t="s">
        <v>74</v>
      </c>
      <c r="AK1025" t="s">
        <v>77</v>
      </c>
    </row>
    <row r="1026" spans="1:37" x14ac:dyDescent="0.2">
      <c r="A1026">
        <v>47</v>
      </c>
      <c r="B1026" t="s">
        <v>43</v>
      </c>
      <c r="C1026" t="s">
        <v>67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v>0</v>
      </c>
      <c r="AH1026">
        <v>0</v>
      </c>
      <c r="AI1026" t="s">
        <v>72</v>
      </c>
      <c r="AJ1026" t="s">
        <v>81</v>
      </c>
      <c r="AK1026" t="s">
        <v>73</v>
      </c>
    </row>
    <row r="1027" spans="1:37" x14ac:dyDescent="0.2">
      <c r="A1027">
        <v>24</v>
      </c>
      <c r="B1027" t="s">
        <v>43</v>
      </c>
      <c r="C1027" t="s">
        <v>67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v>0</v>
      </c>
      <c r="AH1027">
        <v>1</v>
      </c>
      <c r="AI1027" t="s">
        <v>80</v>
      </c>
      <c r="AJ1027" t="s">
        <v>69</v>
      </c>
      <c r="AK1027" t="s">
        <v>70</v>
      </c>
    </row>
    <row r="1028" spans="1:37" x14ac:dyDescent="0.2">
      <c r="A1028">
        <v>32</v>
      </c>
      <c r="B1028" t="s">
        <v>43</v>
      </c>
      <c r="C1028" t="s">
        <v>67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v>0</v>
      </c>
      <c r="AH1028">
        <v>0</v>
      </c>
      <c r="AI1028" t="s">
        <v>76</v>
      </c>
      <c r="AJ1028" t="s">
        <v>79</v>
      </c>
      <c r="AK1028" t="s">
        <v>77</v>
      </c>
    </row>
    <row r="1029" spans="1:37" x14ac:dyDescent="0.2">
      <c r="A1029">
        <v>34</v>
      </c>
      <c r="B1029" t="s">
        <v>43</v>
      </c>
      <c r="C1029" t="s">
        <v>67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v>0</v>
      </c>
      <c r="AH1029">
        <v>0</v>
      </c>
      <c r="AI1029" t="s">
        <v>76</v>
      </c>
      <c r="AJ1029" t="s">
        <v>69</v>
      </c>
      <c r="AK1029" t="s">
        <v>70</v>
      </c>
    </row>
    <row r="1030" spans="1:37" x14ac:dyDescent="0.2">
      <c r="A1030">
        <v>41</v>
      </c>
      <c r="B1030" t="s">
        <v>43</v>
      </c>
      <c r="C1030" t="s">
        <v>67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v>0</v>
      </c>
      <c r="AH1030">
        <v>1</v>
      </c>
      <c r="AI1030" t="s">
        <v>68</v>
      </c>
      <c r="AJ1030" t="s">
        <v>74</v>
      </c>
      <c r="AK1030" t="s">
        <v>77</v>
      </c>
    </row>
    <row r="1031" spans="1:37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v>0</v>
      </c>
      <c r="AH1031">
        <v>0</v>
      </c>
      <c r="AI1031" t="s">
        <v>68</v>
      </c>
      <c r="AJ1031" t="s">
        <v>69</v>
      </c>
      <c r="AK1031" t="s">
        <v>70</v>
      </c>
    </row>
    <row r="1032" spans="1:37" x14ac:dyDescent="0.2">
      <c r="A1032">
        <v>31</v>
      </c>
      <c r="B1032" t="s">
        <v>43</v>
      </c>
      <c r="C1032" t="s">
        <v>67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v>0</v>
      </c>
      <c r="AH1032">
        <v>0</v>
      </c>
      <c r="AI1032" t="s">
        <v>76</v>
      </c>
      <c r="AJ1032" t="s">
        <v>81</v>
      </c>
      <c r="AK1032" t="s">
        <v>73</v>
      </c>
    </row>
    <row r="1033" spans="1:37" x14ac:dyDescent="0.2">
      <c r="A1033">
        <v>46</v>
      </c>
      <c r="B1033" t="s">
        <v>35</v>
      </c>
      <c r="C1033" t="s">
        <v>67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v>1</v>
      </c>
      <c r="AH1033">
        <v>0</v>
      </c>
      <c r="AI1033" t="s">
        <v>72</v>
      </c>
      <c r="AJ1033" t="s">
        <v>81</v>
      </c>
      <c r="AK1033" t="s">
        <v>70</v>
      </c>
    </row>
    <row r="1034" spans="1:37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v>1</v>
      </c>
      <c r="AH1034">
        <v>1</v>
      </c>
      <c r="AI1034" t="s">
        <v>68</v>
      </c>
      <c r="AJ1034" t="s">
        <v>69</v>
      </c>
      <c r="AK1034" t="s">
        <v>75</v>
      </c>
    </row>
    <row r="1035" spans="1:37" x14ac:dyDescent="0.2">
      <c r="A1035">
        <v>31</v>
      </c>
      <c r="B1035" t="s">
        <v>35</v>
      </c>
      <c r="C1035" t="s">
        <v>71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v>1</v>
      </c>
      <c r="AH1035">
        <v>0</v>
      </c>
      <c r="AI1035" t="s">
        <v>76</v>
      </c>
      <c r="AJ1035" t="s">
        <v>79</v>
      </c>
      <c r="AK1035" t="s">
        <v>73</v>
      </c>
    </row>
    <row r="1036" spans="1:37" x14ac:dyDescent="0.2">
      <c r="A1036">
        <v>45</v>
      </c>
      <c r="B1036" t="s">
        <v>43</v>
      </c>
      <c r="C1036" t="s">
        <v>67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v>0</v>
      </c>
      <c r="AH1036">
        <v>1</v>
      </c>
      <c r="AI1036" t="s">
        <v>72</v>
      </c>
      <c r="AJ1036" t="s">
        <v>81</v>
      </c>
      <c r="AK1036" t="s">
        <v>70</v>
      </c>
    </row>
    <row r="1037" spans="1:37" x14ac:dyDescent="0.2">
      <c r="A1037">
        <v>31</v>
      </c>
      <c r="B1037" t="s">
        <v>43</v>
      </c>
      <c r="C1037" t="s">
        <v>67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v>0</v>
      </c>
      <c r="AH1037">
        <v>0</v>
      </c>
      <c r="AI1037" t="s">
        <v>76</v>
      </c>
      <c r="AJ1037" t="s">
        <v>74</v>
      </c>
      <c r="AK1037" t="s">
        <v>77</v>
      </c>
    </row>
    <row r="1038" spans="1:37" x14ac:dyDescent="0.2">
      <c r="A1038">
        <v>31</v>
      </c>
      <c r="B1038" t="s">
        <v>35</v>
      </c>
      <c r="C1038" t="s">
        <v>71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v>1</v>
      </c>
      <c r="AH1038">
        <v>1</v>
      </c>
      <c r="AI1038" t="s">
        <v>76</v>
      </c>
      <c r="AJ1038" t="s">
        <v>69</v>
      </c>
      <c r="AK1038" t="s">
        <v>77</v>
      </c>
    </row>
    <row r="1039" spans="1:37" x14ac:dyDescent="0.2">
      <c r="A1039">
        <v>45</v>
      </c>
      <c r="B1039" t="s">
        <v>43</v>
      </c>
      <c r="C1039" t="s">
        <v>67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v>0</v>
      </c>
      <c r="AH1039">
        <v>1</v>
      </c>
      <c r="AI1039" t="s">
        <v>72</v>
      </c>
      <c r="AJ1039" t="s">
        <v>79</v>
      </c>
      <c r="AK1039" t="s">
        <v>77</v>
      </c>
    </row>
    <row r="1040" spans="1:37" x14ac:dyDescent="0.2">
      <c r="A1040">
        <v>48</v>
      </c>
      <c r="B1040" t="s">
        <v>43</v>
      </c>
      <c r="C1040" t="s">
        <v>67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v>0</v>
      </c>
      <c r="AH1040">
        <v>0</v>
      </c>
      <c r="AI1040" t="s">
        <v>72</v>
      </c>
      <c r="AJ1040" t="s">
        <v>69</v>
      </c>
      <c r="AK1040" t="s">
        <v>77</v>
      </c>
    </row>
    <row r="1041" spans="1:37" x14ac:dyDescent="0.2">
      <c r="A1041">
        <v>34</v>
      </c>
      <c r="B1041" t="s">
        <v>35</v>
      </c>
      <c r="C1041" t="s">
        <v>67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>
        <v>0</v>
      </c>
      <c r="AI1041" t="s">
        <v>76</v>
      </c>
      <c r="AJ1041" t="s">
        <v>74</v>
      </c>
      <c r="AK1041" t="s">
        <v>77</v>
      </c>
    </row>
    <row r="1042" spans="1:37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v>0</v>
      </c>
      <c r="AH1042">
        <v>0</v>
      </c>
      <c r="AI1042" t="s">
        <v>68</v>
      </c>
      <c r="AJ1042" t="s">
        <v>81</v>
      </c>
      <c r="AK1042" t="s">
        <v>70</v>
      </c>
    </row>
    <row r="1043" spans="1:37" x14ac:dyDescent="0.2">
      <c r="A1043">
        <v>28</v>
      </c>
      <c r="B1043" t="s">
        <v>43</v>
      </c>
      <c r="C1043" t="s">
        <v>67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v>0</v>
      </c>
      <c r="AH1043">
        <v>0</v>
      </c>
      <c r="AI1043" t="s">
        <v>76</v>
      </c>
      <c r="AJ1043" t="s">
        <v>79</v>
      </c>
      <c r="AK1043" t="s">
        <v>70</v>
      </c>
    </row>
    <row r="1044" spans="1:37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v>0</v>
      </c>
      <c r="AH1044">
        <v>0</v>
      </c>
      <c r="AI1044" t="s">
        <v>68</v>
      </c>
      <c r="AJ1044" t="s">
        <v>69</v>
      </c>
      <c r="AK1044" t="s">
        <v>70</v>
      </c>
    </row>
    <row r="1045" spans="1:37" x14ac:dyDescent="0.2">
      <c r="A1045">
        <v>53</v>
      </c>
      <c r="B1045" t="s">
        <v>43</v>
      </c>
      <c r="C1045" t="s">
        <v>67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v>0</v>
      </c>
      <c r="AH1045">
        <v>0</v>
      </c>
      <c r="AI1045" t="s">
        <v>72</v>
      </c>
      <c r="AJ1045" t="s">
        <v>81</v>
      </c>
      <c r="AK1045" t="s">
        <v>70</v>
      </c>
    </row>
    <row r="1046" spans="1:37" x14ac:dyDescent="0.2">
      <c r="A1046">
        <v>49</v>
      </c>
      <c r="B1046" t="s">
        <v>43</v>
      </c>
      <c r="C1046" t="s">
        <v>67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v>0</v>
      </c>
      <c r="AH1046">
        <v>0</v>
      </c>
      <c r="AI1046" t="s">
        <v>72</v>
      </c>
      <c r="AJ1046" t="s">
        <v>79</v>
      </c>
      <c r="AK1046" t="s">
        <v>77</v>
      </c>
    </row>
    <row r="1047" spans="1:37" x14ac:dyDescent="0.2">
      <c r="A1047">
        <v>40</v>
      </c>
      <c r="B1047" t="s">
        <v>43</v>
      </c>
      <c r="C1047" t="s">
        <v>67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v>0</v>
      </c>
      <c r="AH1047">
        <v>0</v>
      </c>
      <c r="AI1047" t="s">
        <v>68</v>
      </c>
      <c r="AJ1047" t="s">
        <v>74</v>
      </c>
      <c r="AK1047" t="s">
        <v>77</v>
      </c>
    </row>
    <row r="1048" spans="1:37" x14ac:dyDescent="0.2">
      <c r="A1048">
        <v>44</v>
      </c>
      <c r="B1048" t="s">
        <v>43</v>
      </c>
      <c r="C1048" t="s">
        <v>67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v>0</v>
      </c>
      <c r="AH1048">
        <v>0</v>
      </c>
      <c r="AI1048" t="s">
        <v>68</v>
      </c>
      <c r="AJ1048" t="s">
        <v>69</v>
      </c>
      <c r="AK1048" t="s">
        <v>70</v>
      </c>
    </row>
    <row r="1049" spans="1:37" x14ac:dyDescent="0.2">
      <c r="A1049">
        <v>33</v>
      </c>
      <c r="B1049" t="s">
        <v>43</v>
      </c>
      <c r="C1049" t="s">
        <v>71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v>0</v>
      </c>
      <c r="AH1049">
        <v>0</v>
      </c>
      <c r="AI1049" t="s">
        <v>76</v>
      </c>
      <c r="AJ1049" t="s">
        <v>69</v>
      </c>
      <c r="AK1049" t="s">
        <v>77</v>
      </c>
    </row>
    <row r="1050" spans="1:37" x14ac:dyDescent="0.2">
      <c r="A1050">
        <v>34</v>
      </c>
      <c r="B1050" t="s">
        <v>43</v>
      </c>
      <c r="C1050" t="s">
        <v>67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v>0</v>
      </c>
      <c r="AH1050">
        <v>0</v>
      </c>
      <c r="AI1050" t="s">
        <v>76</v>
      </c>
      <c r="AJ1050" t="s">
        <v>69</v>
      </c>
      <c r="AK1050" t="s">
        <v>73</v>
      </c>
    </row>
    <row r="1051" spans="1:37" x14ac:dyDescent="0.2">
      <c r="A1051">
        <v>30</v>
      </c>
      <c r="B1051" t="s">
        <v>43</v>
      </c>
      <c r="C1051" t="s">
        <v>67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v>0</v>
      </c>
      <c r="AH1051">
        <v>0</v>
      </c>
      <c r="AI1051" t="s">
        <v>76</v>
      </c>
      <c r="AJ1051" t="s">
        <v>69</v>
      </c>
      <c r="AK1051" t="s">
        <v>77</v>
      </c>
    </row>
    <row r="1052" spans="1:37" x14ac:dyDescent="0.2">
      <c r="A1052">
        <v>42</v>
      </c>
      <c r="B1052" t="s">
        <v>43</v>
      </c>
      <c r="C1052" t="s">
        <v>71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v>0</v>
      </c>
      <c r="AH1052">
        <v>0</v>
      </c>
      <c r="AI1052" t="s">
        <v>68</v>
      </c>
      <c r="AJ1052" t="s">
        <v>69</v>
      </c>
      <c r="AK1052" t="s">
        <v>73</v>
      </c>
    </row>
    <row r="1053" spans="1:37" x14ac:dyDescent="0.2">
      <c r="A1053">
        <v>44</v>
      </c>
      <c r="B1053" t="s">
        <v>43</v>
      </c>
      <c r="C1053" t="s">
        <v>71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68</v>
      </c>
      <c r="AJ1053" t="s">
        <v>69</v>
      </c>
      <c r="AK1053" t="s">
        <v>75</v>
      </c>
    </row>
    <row r="1054" spans="1:37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76</v>
      </c>
      <c r="AJ1054" t="s">
        <v>74</v>
      </c>
      <c r="AK1054" t="s">
        <v>75</v>
      </c>
    </row>
    <row r="1055" spans="1:37" x14ac:dyDescent="0.2">
      <c r="A1055">
        <v>57</v>
      </c>
      <c r="B1055" t="s">
        <v>43</v>
      </c>
      <c r="C1055" t="s">
        <v>67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v>0</v>
      </c>
      <c r="AH1055">
        <v>0</v>
      </c>
      <c r="AI1055" t="s">
        <v>78</v>
      </c>
      <c r="AJ1055" t="s">
        <v>69</v>
      </c>
      <c r="AK1055" t="s">
        <v>73</v>
      </c>
    </row>
    <row r="1056" spans="1:37" x14ac:dyDescent="0.2">
      <c r="A1056">
        <v>49</v>
      </c>
      <c r="B1056" t="s">
        <v>43</v>
      </c>
      <c r="C1056" t="s">
        <v>67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v>0</v>
      </c>
      <c r="AH1056">
        <v>0</v>
      </c>
      <c r="AI1056" t="s">
        <v>72</v>
      </c>
      <c r="AJ1056" t="s">
        <v>81</v>
      </c>
      <c r="AK1056" t="s">
        <v>70</v>
      </c>
    </row>
    <row r="1057" spans="1:37" x14ac:dyDescent="0.2">
      <c r="A1057">
        <v>34</v>
      </c>
      <c r="B1057" t="s">
        <v>43</v>
      </c>
      <c r="C1057" t="s">
        <v>71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v>0</v>
      </c>
      <c r="AH1057">
        <v>0</v>
      </c>
      <c r="AI1057" t="s">
        <v>76</v>
      </c>
      <c r="AJ1057" t="s">
        <v>81</v>
      </c>
      <c r="AK1057" t="s">
        <v>73</v>
      </c>
    </row>
    <row r="1058" spans="1:37" x14ac:dyDescent="0.2">
      <c r="A1058">
        <v>28</v>
      </c>
      <c r="B1058" t="s">
        <v>35</v>
      </c>
      <c r="C1058" t="s">
        <v>71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v>1</v>
      </c>
      <c r="AH1058">
        <v>0</v>
      </c>
      <c r="AI1058" t="s">
        <v>76</v>
      </c>
      <c r="AJ1058" t="s">
        <v>74</v>
      </c>
      <c r="AK1058" t="s">
        <v>77</v>
      </c>
    </row>
    <row r="1059" spans="1:37" x14ac:dyDescent="0.2">
      <c r="A1059">
        <v>29</v>
      </c>
      <c r="B1059" t="s">
        <v>35</v>
      </c>
      <c r="C1059" t="s">
        <v>71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v>1</v>
      </c>
      <c r="AH1059">
        <v>0</v>
      </c>
      <c r="AI1059" t="s">
        <v>76</v>
      </c>
      <c r="AJ1059" t="s">
        <v>69</v>
      </c>
      <c r="AK1059" t="s">
        <v>70</v>
      </c>
    </row>
    <row r="1060" spans="1:37" x14ac:dyDescent="0.2">
      <c r="A1060">
        <v>34</v>
      </c>
      <c r="B1060" t="s">
        <v>35</v>
      </c>
      <c r="C1060" t="s">
        <v>67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v>1</v>
      </c>
      <c r="AH1060">
        <v>1</v>
      </c>
      <c r="AI1060" t="s">
        <v>76</v>
      </c>
      <c r="AJ1060" t="s">
        <v>69</v>
      </c>
      <c r="AK1060" t="s">
        <v>73</v>
      </c>
    </row>
    <row r="1061" spans="1:37" x14ac:dyDescent="0.2">
      <c r="A1061">
        <v>35</v>
      </c>
      <c r="B1061" t="s">
        <v>43</v>
      </c>
      <c r="C1061" t="s">
        <v>67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68</v>
      </c>
      <c r="AJ1061" t="s">
        <v>74</v>
      </c>
      <c r="AK1061" t="s">
        <v>75</v>
      </c>
    </row>
    <row r="1062" spans="1:37" x14ac:dyDescent="0.2">
      <c r="A1062">
        <v>24</v>
      </c>
      <c r="B1062" t="s">
        <v>35</v>
      </c>
      <c r="C1062" t="s">
        <v>71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1</v>
      </c>
      <c r="AI1062" t="s">
        <v>80</v>
      </c>
      <c r="AJ1062" t="s">
        <v>69</v>
      </c>
      <c r="AK1062" t="s">
        <v>75</v>
      </c>
    </row>
    <row r="1063" spans="1:37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80</v>
      </c>
      <c r="AJ1063" t="s">
        <v>74</v>
      </c>
      <c r="AK1063" t="s">
        <v>75</v>
      </c>
    </row>
    <row r="1064" spans="1:37" x14ac:dyDescent="0.2">
      <c r="A1064">
        <v>44</v>
      </c>
      <c r="B1064" t="s">
        <v>43</v>
      </c>
      <c r="C1064" t="s">
        <v>71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0</v>
      </c>
      <c r="AH1064">
        <v>1</v>
      </c>
      <c r="AI1064" t="s">
        <v>68</v>
      </c>
      <c r="AJ1064" t="s">
        <v>81</v>
      </c>
      <c r="AK1064" t="s">
        <v>77</v>
      </c>
    </row>
    <row r="1065" spans="1:37" x14ac:dyDescent="0.2">
      <c r="A1065">
        <v>29</v>
      </c>
      <c r="B1065" t="s">
        <v>43</v>
      </c>
      <c r="C1065" t="s">
        <v>67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v>0</v>
      </c>
      <c r="AH1065">
        <v>0</v>
      </c>
      <c r="AI1065" t="s">
        <v>76</v>
      </c>
      <c r="AJ1065" t="s">
        <v>79</v>
      </c>
      <c r="AK1065" t="s">
        <v>73</v>
      </c>
    </row>
    <row r="1066" spans="1:37" x14ac:dyDescent="0.2">
      <c r="A1066">
        <v>30</v>
      </c>
      <c r="B1066" t="s">
        <v>43</v>
      </c>
      <c r="C1066" t="s">
        <v>67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v>0</v>
      </c>
      <c r="AH1066">
        <v>0</v>
      </c>
      <c r="AI1066" t="s">
        <v>76</v>
      </c>
      <c r="AJ1066" t="s">
        <v>74</v>
      </c>
      <c r="AK1066" t="s">
        <v>70</v>
      </c>
    </row>
    <row r="1067" spans="1:37" x14ac:dyDescent="0.2">
      <c r="A1067">
        <v>55</v>
      </c>
      <c r="B1067" t="s">
        <v>43</v>
      </c>
      <c r="C1067" t="s">
        <v>67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v>0</v>
      </c>
      <c r="AH1067">
        <v>1</v>
      </c>
      <c r="AI1067" t="s">
        <v>78</v>
      </c>
      <c r="AJ1067" t="s">
        <v>69</v>
      </c>
      <c r="AK1067" t="s">
        <v>77</v>
      </c>
    </row>
    <row r="1068" spans="1:37" x14ac:dyDescent="0.2">
      <c r="A1068">
        <v>33</v>
      </c>
      <c r="B1068" t="s">
        <v>43</v>
      </c>
      <c r="C1068" t="s">
        <v>67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v>0</v>
      </c>
      <c r="AH1068">
        <v>0</v>
      </c>
      <c r="AI1068" t="s">
        <v>76</v>
      </c>
      <c r="AJ1068" t="s">
        <v>69</v>
      </c>
      <c r="AK1068" t="s">
        <v>70</v>
      </c>
    </row>
    <row r="1069" spans="1:37" x14ac:dyDescent="0.2">
      <c r="A1069">
        <v>47</v>
      </c>
      <c r="B1069" t="s">
        <v>43</v>
      </c>
      <c r="C1069" t="s">
        <v>67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v>0</v>
      </c>
      <c r="AH1069">
        <v>1</v>
      </c>
      <c r="AI1069" t="s">
        <v>72</v>
      </c>
      <c r="AJ1069" t="s">
        <v>69</v>
      </c>
      <c r="AK1069" t="s">
        <v>70</v>
      </c>
    </row>
    <row r="1070" spans="1:37" x14ac:dyDescent="0.2">
      <c r="A1070">
        <v>28</v>
      </c>
      <c r="B1070" t="s">
        <v>35</v>
      </c>
      <c r="C1070" t="s">
        <v>71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 t="s">
        <v>76</v>
      </c>
      <c r="AJ1070" t="s">
        <v>74</v>
      </c>
      <c r="AK1070" t="s">
        <v>75</v>
      </c>
    </row>
    <row r="1071" spans="1:37" x14ac:dyDescent="0.2">
      <c r="A1071">
        <v>28</v>
      </c>
      <c r="B1071" t="s">
        <v>43</v>
      </c>
      <c r="C1071" t="s">
        <v>67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76</v>
      </c>
      <c r="AJ1071" t="s">
        <v>74</v>
      </c>
      <c r="AK1071" t="s">
        <v>75</v>
      </c>
    </row>
    <row r="1072" spans="1:37" x14ac:dyDescent="0.2">
      <c r="A1072">
        <v>28</v>
      </c>
      <c r="B1072" t="s">
        <v>43</v>
      </c>
      <c r="C1072" t="s">
        <v>71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v>0</v>
      </c>
      <c r="AH1072">
        <v>0</v>
      </c>
      <c r="AI1072" t="s">
        <v>76</v>
      </c>
      <c r="AJ1072" t="s">
        <v>69</v>
      </c>
      <c r="AK1072" t="s">
        <v>77</v>
      </c>
    </row>
    <row r="1073" spans="1:37" x14ac:dyDescent="0.2">
      <c r="A1073">
        <v>49</v>
      </c>
      <c r="B1073" t="s">
        <v>43</v>
      </c>
      <c r="C1073" t="s">
        <v>67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v>0</v>
      </c>
      <c r="AH1073">
        <v>0</v>
      </c>
      <c r="AI1073" t="s">
        <v>72</v>
      </c>
      <c r="AJ1073" t="s">
        <v>69</v>
      </c>
      <c r="AK1073" t="s">
        <v>77</v>
      </c>
    </row>
    <row r="1074" spans="1:37" x14ac:dyDescent="0.2">
      <c r="A1074">
        <v>29</v>
      </c>
      <c r="B1074" t="s">
        <v>43</v>
      </c>
      <c r="C1074" t="s">
        <v>71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v>0</v>
      </c>
      <c r="AH1074">
        <v>0</v>
      </c>
      <c r="AI1074" t="s">
        <v>76</v>
      </c>
      <c r="AJ1074" t="s">
        <v>69</v>
      </c>
      <c r="AK1074" t="s">
        <v>77</v>
      </c>
    </row>
    <row r="1075" spans="1:37" x14ac:dyDescent="0.2">
      <c r="A1075">
        <v>28</v>
      </c>
      <c r="B1075" t="s">
        <v>43</v>
      </c>
      <c r="C1075" t="s">
        <v>67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v>0</v>
      </c>
      <c r="AH1075">
        <v>0</v>
      </c>
      <c r="AI1075" t="s">
        <v>76</v>
      </c>
      <c r="AJ1075" t="s">
        <v>79</v>
      </c>
      <c r="AK1075" t="s">
        <v>70</v>
      </c>
    </row>
    <row r="1076" spans="1:37" x14ac:dyDescent="0.2">
      <c r="A1076">
        <v>33</v>
      </c>
      <c r="B1076" t="s">
        <v>43</v>
      </c>
      <c r="C1076" t="s">
        <v>67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 t="s">
        <v>76</v>
      </c>
      <c r="AJ1076" t="s">
        <v>79</v>
      </c>
      <c r="AK1076" t="s">
        <v>75</v>
      </c>
    </row>
    <row r="1077" spans="1:37" x14ac:dyDescent="0.2">
      <c r="A1077">
        <v>32</v>
      </c>
      <c r="B1077" t="s">
        <v>43</v>
      </c>
      <c r="C1077" t="s">
        <v>67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v>0</v>
      </c>
      <c r="AH1077">
        <v>0</v>
      </c>
      <c r="AI1077" t="s">
        <v>76</v>
      </c>
      <c r="AJ1077" t="s">
        <v>81</v>
      </c>
      <c r="AK1077" t="s">
        <v>70</v>
      </c>
    </row>
    <row r="1078" spans="1:37" x14ac:dyDescent="0.2">
      <c r="A1078">
        <v>54</v>
      </c>
      <c r="B1078" t="s">
        <v>43</v>
      </c>
      <c r="C1078" t="s">
        <v>71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v>0</v>
      </c>
      <c r="AH1078">
        <v>0</v>
      </c>
      <c r="AI1078" t="s">
        <v>72</v>
      </c>
      <c r="AJ1078" t="s">
        <v>81</v>
      </c>
      <c r="AK1078" t="s">
        <v>73</v>
      </c>
    </row>
    <row r="1079" spans="1:37" x14ac:dyDescent="0.2">
      <c r="A1079">
        <v>29</v>
      </c>
      <c r="B1079" t="s">
        <v>35</v>
      </c>
      <c r="C1079" t="s">
        <v>67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v>1</v>
      </c>
      <c r="AH1079">
        <v>0</v>
      </c>
      <c r="AI1079" t="s">
        <v>76</v>
      </c>
      <c r="AJ1079" t="s">
        <v>74</v>
      </c>
      <c r="AK1079" t="s">
        <v>70</v>
      </c>
    </row>
    <row r="1080" spans="1:37" x14ac:dyDescent="0.2">
      <c r="A1080">
        <v>44</v>
      </c>
      <c r="B1080" t="s">
        <v>43</v>
      </c>
      <c r="C1080" t="s">
        <v>67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v>0</v>
      </c>
      <c r="AH1080">
        <v>0</v>
      </c>
      <c r="AI1080" t="s">
        <v>68</v>
      </c>
      <c r="AJ1080" t="s">
        <v>81</v>
      </c>
      <c r="AK1080" t="s">
        <v>73</v>
      </c>
    </row>
    <row r="1081" spans="1:37" x14ac:dyDescent="0.2">
      <c r="A1081">
        <v>39</v>
      </c>
      <c r="B1081" t="s">
        <v>43</v>
      </c>
      <c r="C1081" t="s">
        <v>67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v>0</v>
      </c>
      <c r="AH1081">
        <v>0</v>
      </c>
      <c r="AI1081" t="s">
        <v>68</v>
      </c>
      <c r="AJ1081" t="s">
        <v>79</v>
      </c>
      <c r="AK1081" t="s">
        <v>77</v>
      </c>
    </row>
    <row r="1082" spans="1:37" x14ac:dyDescent="0.2">
      <c r="A1082">
        <v>46</v>
      </c>
      <c r="B1082" t="s">
        <v>43</v>
      </c>
      <c r="C1082" t="s">
        <v>67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v>0</v>
      </c>
      <c r="AH1082">
        <v>0</v>
      </c>
      <c r="AI1082" t="s">
        <v>72</v>
      </c>
      <c r="AJ1082" t="s">
        <v>81</v>
      </c>
      <c r="AK1082" t="s">
        <v>73</v>
      </c>
    </row>
    <row r="1083" spans="1:37" x14ac:dyDescent="0.2">
      <c r="A1083">
        <v>35</v>
      </c>
      <c r="B1083" t="s">
        <v>43</v>
      </c>
      <c r="C1083" t="s">
        <v>67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v>0</v>
      </c>
      <c r="AH1083">
        <v>0</v>
      </c>
      <c r="AI1083" t="s">
        <v>68</v>
      </c>
      <c r="AJ1083" t="s">
        <v>79</v>
      </c>
      <c r="AK1083" t="s">
        <v>73</v>
      </c>
    </row>
    <row r="1084" spans="1:37" x14ac:dyDescent="0.2">
      <c r="A1084">
        <v>23</v>
      </c>
      <c r="B1084" t="s">
        <v>43</v>
      </c>
      <c r="C1084" t="s">
        <v>67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v>0</v>
      </c>
      <c r="AH1084">
        <v>0</v>
      </c>
      <c r="AI1084" t="s">
        <v>80</v>
      </c>
      <c r="AJ1084" t="s">
        <v>74</v>
      </c>
      <c r="AK1084" t="s">
        <v>77</v>
      </c>
    </row>
    <row r="1085" spans="1:37" x14ac:dyDescent="0.2">
      <c r="A1085">
        <v>40</v>
      </c>
      <c r="B1085" t="s">
        <v>35</v>
      </c>
      <c r="C1085" t="s">
        <v>67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v>1</v>
      </c>
      <c r="AH1085">
        <v>0</v>
      </c>
      <c r="AI1085" t="s">
        <v>68</v>
      </c>
      <c r="AJ1085" t="s">
        <v>74</v>
      </c>
      <c r="AK1085" t="s">
        <v>70</v>
      </c>
    </row>
    <row r="1086" spans="1:37" x14ac:dyDescent="0.2">
      <c r="A1086">
        <v>34</v>
      </c>
      <c r="B1086" t="s">
        <v>43</v>
      </c>
      <c r="C1086" t="s">
        <v>67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v>0</v>
      </c>
      <c r="AH1086">
        <v>1</v>
      </c>
      <c r="AI1086" t="s">
        <v>76</v>
      </c>
      <c r="AJ1086" t="s">
        <v>79</v>
      </c>
      <c r="AK1086" t="s">
        <v>73</v>
      </c>
    </row>
    <row r="1087" spans="1:37" x14ac:dyDescent="0.2">
      <c r="A1087">
        <v>31</v>
      </c>
      <c r="B1087" t="s">
        <v>35</v>
      </c>
      <c r="C1087" t="s">
        <v>71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v>1</v>
      </c>
      <c r="AH1087">
        <v>0</v>
      </c>
      <c r="AI1087" t="s">
        <v>76</v>
      </c>
      <c r="AJ1087" t="s">
        <v>69</v>
      </c>
      <c r="AK1087" t="s">
        <v>70</v>
      </c>
    </row>
    <row r="1088" spans="1:37" x14ac:dyDescent="0.2">
      <c r="A1088">
        <v>50</v>
      </c>
      <c r="B1088" t="s">
        <v>43</v>
      </c>
      <c r="C1088" t="s">
        <v>71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v>0</v>
      </c>
      <c r="AH1088">
        <v>1</v>
      </c>
      <c r="AI1088" t="s">
        <v>72</v>
      </c>
      <c r="AJ1088" t="s">
        <v>81</v>
      </c>
      <c r="AK1088" t="s">
        <v>73</v>
      </c>
    </row>
    <row r="1089" spans="1:37" x14ac:dyDescent="0.2">
      <c r="A1089">
        <v>34</v>
      </c>
      <c r="B1089" t="s">
        <v>43</v>
      </c>
      <c r="C1089" t="s">
        <v>67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v>0</v>
      </c>
      <c r="AH1089">
        <v>1</v>
      </c>
      <c r="AI1089" t="s">
        <v>76</v>
      </c>
      <c r="AJ1089" t="s">
        <v>74</v>
      </c>
      <c r="AK1089" t="s">
        <v>73</v>
      </c>
    </row>
    <row r="1090" spans="1:37" x14ac:dyDescent="0.2">
      <c r="A1090">
        <v>42</v>
      </c>
      <c r="B1090" t="s">
        <v>43</v>
      </c>
      <c r="C1090" t="s">
        <v>67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68</v>
      </c>
      <c r="AJ1090" t="s">
        <v>69</v>
      </c>
      <c r="AK1090" t="s">
        <v>75</v>
      </c>
    </row>
    <row r="1091" spans="1:37" x14ac:dyDescent="0.2">
      <c r="A1091">
        <v>37</v>
      </c>
      <c r="B1091" t="s">
        <v>43</v>
      </c>
      <c r="C1091" t="s">
        <v>67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v>0</v>
      </c>
      <c r="AH1091">
        <v>0</v>
      </c>
      <c r="AI1091" t="s">
        <v>68</v>
      </c>
      <c r="AJ1091" t="s">
        <v>69</v>
      </c>
      <c r="AK1091" t="s">
        <v>73</v>
      </c>
    </row>
    <row r="1092" spans="1:37" x14ac:dyDescent="0.2">
      <c r="A1092">
        <v>29</v>
      </c>
      <c r="B1092" t="s">
        <v>43</v>
      </c>
      <c r="C1092" t="s">
        <v>67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v>0</v>
      </c>
      <c r="AH1092">
        <v>0</v>
      </c>
      <c r="AI1092" t="s">
        <v>76</v>
      </c>
      <c r="AJ1092" t="s">
        <v>79</v>
      </c>
      <c r="AK1092" t="s">
        <v>70</v>
      </c>
    </row>
    <row r="1093" spans="1:37" x14ac:dyDescent="0.2">
      <c r="A1093">
        <v>33</v>
      </c>
      <c r="B1093" t="s">
        <v>43</v>
      </c>
      <c r="C1093" t="s">
        <v>67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v>0</v>
      </c>
      <c r="AH1093">
        <v>0</v>
      </c>
      <c r="AI1093" t="s">
        <v>76</v>
      </c>
      <c r="AJ1093" t="s">
        <v>69</v>
      </c>
      <c r="AK1093" t="s">
        <v>70</v>
      </c>
    </row>
    <row r="1094" spans="1:37" x14ac:dyDescent="0.2">
      <c r="A1094">
        <v>45</v>
      </c>
      <c r="B1094" t="s">
        <v>43</v>
      </c>
      <c r="C1094" t="s">
        <v>67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v>0</v>
      </c>
      <c r="AH1094">
        <v>0</v>
      </c>
      <c r="AI1094" t="s">
        <v>72</v>
      </c>
      <c r="AJ1094" t="s">
        <v>74</v>
      </c>
      <c r="AK1094" t="s">
        <v>70</v>
      </c>
    </row>
    <row r="1095" spans="1:37" x14ac:dyDescent="0.2">
      <c r="A1095">
        <v>42</v>
      </c>
      <c r="B1095" t="s">
        <v>43</v>
      </c>
      <c r="C1095" t="s">
        <v>71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v>0</v>
      </c>
      <c r="AH1095">
        <v>1</v>
      </c>
      <c r="AI1095" t="s">
        <v>68</v>
      </c>
      <c r="AJ1095" t="s">
        <v>81</v>
      </c>
      <c r="AK1095" t="s">
        <v>73</v>
      </c>
    </row>
    <row r="1096" spans="1:37" x14ac:dyDescent="0.2">
      <c r="A1096">
        <v>40</v>
      </c>
      <c r="B1096" t="s">
        <v>43</v>
      </c>
      <c r="C1096" t="s">
        <v>67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v>0</v>
      </c>
      <c r="AH1096">
        <v>0</v>
      </c>
      <c r="AI1096" t="s">
        <v>68</v>
      </c>
      <c r="AJ1096" t="s">
        <v>69</v>
      </c>
      <c r="AK1096" t="s">
        <v>70</v>
      </c>
    </row>
    <row r="1097" spans="1:37" x14ac:dyDescent="0.2">
      <c r="A1097">
        <v>33</v>
      </c>
      <c r="B1097" t="s">
        <v>43</v>
      </c>
      <c r="C1097" t="s">
        <v>67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v>0</v>
      </c>
      <c r="AH1097">
        <v>1</v>
      </c>
      <c r="AI1097" t="s">
        <v>76</v>
      </c>
      <c r="AJ1097" t="s">
        <v>69</v>
      </c>
      <c r="AK1097" t="s">
        <v>73</v>
      </c>
    </row>
    <row r="1098" spans="1:37" x14ac:dyDescent="0.2">
      <c r="A1098">
        <v>40</v>
      </c>
      <c r="B1098" t="s">
        <v>43</v>
      </c>
      <c r="C1098" t="s">
        <v>67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v>0</v>
      </c>
      <c r="AH1098">
        <v>1</v>
      </c>
      <c r="AI1098" t="s">
        <v>68</v>
      </c>
      <c r="AJ1098" t="s">
        <v>81</v>
      </c>
      <c r="AK1098" t="s">
        <v>73</v>
      </c>
    </row>
    <row r="1099" spans="1:37" x14ac:dyDescent="0.2">
      <c r="A1099">
        <v>24</v>
      </c>
      <c r="B1099" t="s">
        <v>43</v>
      </c>
      <c r="C1099" t="s">
        <v>67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 t="s">
        <v>80</v>
      </c>
      <c r="AJ1099" t="s">
        <v>74</v>
      </c>
      <c r="AK1099" t="s">
        <v>75</v>
      </c>
    </row>
    <row r="1100" spans="1:37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v>0</v>
      </c>
      <c r="AH1100">
        <v>1</v>
      </c>
      <c r="AI1100" t="s">
        <v>68</v>
      </c>
      <c r="AJ1100" t="s">
        <v>69</v>
      </c>
      <c r="AK1100" t="s">
        <v>77</v>
      </c>
    </row>
    <row r="1101" spans="1:37" x14ac:dyDescent="0.2">
      <c r="A1101">
        <v>45</v>
      </c>
      <c r="B1101" t="s">
        <v>43</v>
      </c>
      <c r="C1101" t="s">
        <v>67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v>0</v>
      </c>
      <c r="AH1101">
        <v>0</v>
      </c>
      <c r="AI1101" t="s">
        <v>72</v>
      </c>
      <c r="AJ1101" t="s">
        <v>79</v>
      </c>
      <c r="AK1101" t="s">
        <v>73</v>
      </c>
    </row>
    <row r="1102" spans="1:37" x14ac:dyDescent="0.2">
      <c r="A1102">
        <v>35</v>
      </c>
      <c r="B1102" t="s">
        <v>43</v>
      </c>
      <c r="C1102" t="s">
        <v>67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v>0</v>
      </c>
      <c r="AH1102">
        <v>0</v>
      </c>
      <c r="AI1102" t="s">
        <v>68</v>
      </c>
      <c r="AJ1102" t="s">
        <v>74</v>
      </c>
      <c r="AK1102" t="s">
        <v>70</v>
      </c>
    </row>
    <row r="1103" spans="1:37" x14ac:dyDescent="0.2">
      <c r="A1103">
        <v>32</v>
      </c>
      <c r="B1103" t="s">
        <v>43</v>
      </c>
      <c r="C1103" t="s">
        <v>67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v>0</v>
      </c>
      <c r="AH1103">
        <v>0</v>
      </c>
      <c r="AI1103" t="s">
        <v>76</v>
      </c>
      <c r="AJ1103" t="s">
        <v>69</v>
      </c>
      <c r="AK1103" t="s">
        <v>70</v>
      </c>
    </row>
    <row r="1104" spans="1:37" x14ac:dyDescent="0.2">
      <c r="A1104">
        <v>36</v>
      </c>
      <c r="B1104" t="s">
        <v>43</v>
      </c>
      <c r="C1104" t="s">
        <v>67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v>0</v>
      </c>
      <c r="AH1104">
        <v>1</v>
      </c>
      <c r="AI1104" t="s">
        <v>68</v>
      </c>
      <c r="AJ1104" t="s">
        <v>74</v>
      </c>
      <c r="AK1104" t="s">
        <v>77</v>
      </c>
    </row>
    <row r="1105" spans="1:37" x14ac:dyDescent="0.2">
      <c r="A1105">
        <v>48</v>
      </c>
      <c r="B1105" t="s">
        <v>43</v>
      </c>
      <c r="C1105" t="s">
        <v>67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v>0</v>
      </c>
      <c r="AH1105">
        <v>0</v>
      </c>
      <c r="AI1105" t="s">
        <v>72</v>
      </c>
      <c r="AJ1105" t="s">
        <v>79</v>
      </c>
      <c r="AK1105" t="s">
        <v>70</v>
      </c>
    </row>
    <row r="1106" spans="1:37" x14ac:dyDescent="0.2">
      <c r="A1106">
        <v>29</v>
      </c>
      <c r="B1106" t="s">
        <v>43</v>
      </c>
      <c r="C1106" t="s">
        <v>67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76</v>
      </c>
      <c r="AJ1106" t="s">
        <v>74</v>
      </c>
      <c r="AK1106" t="s">
        <v>75</v>
      </c>
    </row>
    <row r="1107" spans="1:37" x14ac:dyDescent="0.2">
      <c r="A1107">
        <v>33</v>
      </c>
      <c r="B1107" t="s">
        <v>43</v>
      </c>
      <c r="C1107" t="s">
        <v>67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v>0</v>
      </c>
      <c r="AH1107">
        <v>0</v>
      </c>
      <c r="AI1107" t="s">
        <v>76</v>
      </c>
      <c r="AJ1107" t="s">
        <v>79</v>
      </c>
      <c r="AK1107" t="s">
        <v>77</v>
      </c>
    </row>
    <row r="1108" spans="1:37" x14ac:dyDescent="0.2">
      <c r="A1108">
        <v>30</v>
      </c>
      <c r="B1108" t="s">
        <v>35</v>
      </c>
      <c r="C1108" t="s">
        <v>67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v>1</v>
      </c>
      <c r="AH1108">
        <v>0</v>
      </c>
      <c r="AI1108" t="s">
        <v>76</v>
      </c>
      <c r="AJ1108" t="s">
        <v>79</v>
      </c>
      <c r="AK1108" t="s">
        <v>73</v>
      </c>
    </row>
    <row r="1109" spans="1:37" x14ac:dyDescent="0.2">
      <c r="A1109">
        <v>38</v>
      </c>
      <c r="B1109" t="s">
        <v>43</v>
      </c>
      <c r="C1109" t="s">
        <v>71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v>0</v>
      </c>
      <c r="AH1109">
        <v>0</v>
      </c>
      <c r="AI1109" t="s">
        <v>68</v>
      </c>
      <c r="AJ1109" t="s">
        <v>79</v>
      </c>
      <c r="AK1109" t="s">
        <v>70</v>
      </c>
    </row>
    <row r="1110" spans="1:37" x14ac:dyDescent="0.2">
      <c r="A1110">
        <v>35</v>
      </c>
      <c r="B1110" t="s">
        <v>43</v>
      </c>
      <c r="C1110" t="s">
        <v>67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v>0</v>
      </c>
      <c r="AH1110">
        <v>0</v>
      </c>
      <c r="AI1110" t="s">
        <v>68</v>
      </c>
      <c r="AJ1110" t="s">
        <v>74</v>
      </c>
      <c r="AK1110" t="s">
        <v>77</v>
      </c>
    </row>
    <row r="1111" spans="1:37" x14ac:dyDescent="0.2">
      <c r="A1111">
        <v>30</v>
      </c>
      <c r="B1111" t="s">
        <v>43</v>
      </c>
      <c r="C1111" t="s">
        <v>67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v>0</v>
      </c>
      <c r="AH1111">
        <v>0</v>
      </c>
      <c r="AI1111" t="s">
        <v>76</v>
      </c>
      <c r="AJ1111" t="s">
        <v>79</v>
      </c>
      <c r="AK1111" t="s">
        <v>77</v>
      </c>
    </row>
    <row r="1112" spans="1:37" x14ac:dyDescent="0.2">
      <c r="A1112">
        <v>35</v>
      </c>
      <c r="B1112" t="s">
        <v>35</v>
      </c>
      <c r="C1112" t="s">
        <v>67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v>1</v>
      </c>
      <c r="AH1112">
        <v>1</v>
      </c>
      <c r="AI1112" t="s">
        <v>68</v>
      </c>
      <c r="AJ1112" t="s">
        <v>74</v>
      </c>
      <c r="AK1112" t="s">
        <v>75</v>
      </c>
    </row>
    <row r="1113" spans="1:37" x14ac:dyDescent="0.2">
      <c r="A1113">
        <v>53</v>
      </c>
      <c r="B1113" t="s">
        <v>35</v>
      </c>
      <c r="C1113" t="s">
        <v>67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v>1</v>
      </c>
      <c r="AH1113">
        <v>0</v>
      </c>
      <c r="AI1113" t="s">
        <v>72</v>
      </c>
      <c r="AJ1113" t="s">
        <v>81</v>
      </c>
      <c r="AK1113" t="s">
        <v>73</v>
      </c>
    </row>
    <row r="1114" spans="1:37" x14ac:dyDescent="0.2">
      <c r="A1114">
        <v>38</v>
      </c>
      <c r="B1114" t="s">
        <v>35</v>
      </c>
      <c r="C1114" t="s">
        <v>67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v>1</v>
      </c>
      <c r="AH1114">
        <v>0</v>
      </c>
      <c r="AI1114" t="s">
        <v>68</v>
      </c>
      <c r="AJ1114" t="s">
        <v>69</v>
      </c>
      <c r="AK1114" t="s">
        <v>70</v>
      </c>
    </row>
    <row r="1115" spans="1:37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v>0</v>
      </c>
      <c r="AH1115">
        <v>0</v>
      </c>
      <c r="AI1115" t="s">
        <v>76</v>
      </c>
      <c r="AJ1115" t="s">
        <v>69</v>
      </c>
      <c r="AK1115" t="s">
        <v>70</v>
      </c>
    </row>
    <row r="1116" spans="1:37" x14ac:dyDescent="0.2">
      <c r="A1116">
        <v>48</v>
      </c>
      <c r="B1116" t="s">
        <v>43</v>
      </c>
      <c r="C1116" t="s">
        <v>67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v>0</v>
      </c>
      <c r="AH1116">
        <v>0</v>
      </c>
      <c r="AI1116" t="s">
        <v>72</v>
      </c>
      <c r="AJ1116" t="s">
        <v>74</v>
      </c>
      <c r="AK1116" t="s">
        <v>70</v>
      </c>
    </row>
    <row r="1117" spans="1:37" x14ac:dyDescent="0.2">
      <c r="A1117">
        <v>34</v>
      </c>
      <c r="B1117" t="s">
        <v>43</v>
      </c>
      <c r="C1117" t="s">
        <v>67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76</v>
      </c>
      <c r="AJ1117" t="s">
        <v>74</v>
      </c>
      <c r="AK1117" t="s">
        <v>75</v>
      </c>
    </row>
    <row r="1118" spans="1:37" x14ac:dyDescent="0.2">
      <c r="A1118">
        <v>55</v>
      </c>
      <c r="B1118" t="s">
        <v>43</v>
      </c>
      <c r="C1118" t="s">
        <v>67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v>0</v>
      </c>
      <c r="AH1118">
        <v>0</v>
      </c>
      <c r="AI1118" t="s">
        <v>78</v>
      </c>
      <c r="AJ1118" t="s">
        <v>81</v>
      </c>
      <c r="AK1118" t="s">
        <v>73</v>
      </c>
    </row>
    <row r="1119" spans="1:37" x14ac:dyDescent="0.2">
      <c r="A1119">
        <v>34</v>
      </c>
      <c r="B1119" t="s">
        <v>43</v>
      </c>
      <c r="C1119" t="s">
        <v>67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v>0</v>
      </c>
      <c r="AH1119">
        <v>0</v>
      </c>
      <c r="AI1119" t="s">
        <v>76</v>
      </c>
      <c r="AJ1119" t="s">
        <v>69</v>
      </c>
      <c r="AK1119" t="s">
        <v>77</v>
      </c>
    </row>
    <row r="1120" spans="1:37" x14ac:dyDescent="0.2">
      <c r="A1120">
        <v>26</v>
      </c>
      <c r="B1120" t="s">
        <v>43</v>
      </c>
      <c r="C1120" t="s">
        <v>67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76</v>
      </c>
      <c r="AJ1120" t="s">
        <v>74</v>
      </c>
      <c r="AK1120" t="s">
        <v>75</v>
      </c>
    </row>
    <row r="1121" spans="1:37" x14ac:dyDescent="0.2">
      <c r="A1121">
        <v>38</v>
      </c>
      <c r="B1121" t="s">
        <v>43</v>
      </c>
      <c r="C1121" t="s">
        <v>67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v>0</v>
      </c>
      <c r="AH1121">
        <v>0</v>
      </c>
      <c r="AI1121" t="s">
        <v>68</v>
      </c>
      <c r="AJ1121" t="s">
        <v>79</v>
      </c>
      <c r="AK1121" t="s">
        <v>70</v>
      </c>
    </row>
    <row r="1122" spans="1:37" x14ac:dyDescent="0.2">
      <c r="A1122">
        <v>38</v>
      </c>
      <c r="B1122" t="s">
        <v>43</v>
      </c>
      <c r="C1122" t="s">
        <v>67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v>0</v>
      </c>
      <c r="AH1122">
        <v>0</v>
      </c>
      <c r="AI1122" t="s">
        <v>68</v>
      </c>
      <c r="AJ1122" t="s">
        <v>69</v>
      </c>
      <c r="AK1122" t="s">
        <v>77</v>
      </c>
    </row>
    <row r="1123" spans="1:37" x14ac:dyDescent="0.2">
      <c r="A1123">
        <v>36</v>
      </c>
      <c r="B1123" t="s">
        <v>43</v>
      </c>
      <c r="C1123" t="s">
        <v>67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68</v>
      </c>
      <c r="AJ1123" t="s">
        <v>79</v>
      </c>
      <c r="AK1123" t="s">
        <v>75</v>
      </c>
    </row>
    <row r="1124" spans="1:37" x14ac:dyDescent="0.2">
      <c r="A1124">
        <v>29</v>
      </c>
      <c r="B1124" t="s">
        <v>43</v>
      </c>
      <c r="C1124" t="s">
        <v>67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v>0</v>
      </c>
      <c r="AH1124">
        <v>1</v>
      </c>
      <c r="AI1124" t="s">
        <v>76</v>
      </c>
      <c r="AJ1124" t="s">
        <v>69</v>
      </c>
      <c r="AK1124" t="s">
        <v>73</v>
      </c>
    </row>
    <row r="1125" spans="1:37" x14ac:dyDescent="0.2">
      <c r="A1125">
        <v>35</v>
      </c>
      <c r="B1125" t="s">
        <v>43</v>
      </c>
      <c r="C1125" t="s">
        <v>67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v>0</v>
      </c>
      <c r="AH1125">
        <v>1</v>
      </c>
      <c r="AI1125" t="s">
        <v>68</v>
      </c>
      <c r="AJ1125" t="s">
        <v>79</v>
      </c>
      <c r="AK1125" t="s">
        <v>70</v>
      </c>
    </row>
    <row r="1126" spans="1:37" x14ac:dyDescent="0.2">
      <c r="A1126">
        <v>39</v>
      </c>
      <c r="B1126" t="s">
        <v>43</v>
      </c>
      <c r="C1126" t="s">
        <v>67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v>0</v>
      </c>
      <c r="AH1126">
        <v>0</v>
      </c>
      <c r="AI1126" t="s">
        <v>68</v>
      </c>
      <c r="AJ1126" t="s">
        <v>79</v>
      </c>
      <c r="AK1126" t="s">
        <v>70</v>
      </c>
    </row>
    <row r="1127" spans="1:37" x14ac:dyDescent="0.2">
      <c r="A1127">
        <v>29</v>
      </c>
      <c r="B1127" t="s">
        <v>43</v>
      </c>
      <c r="C1127" t="s">
        <v>71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v>0</v>
      </c>
      <c r="AH1127">
        <v>0</v>
      </c>
      <c r="AI1127" t="s">
        <v>76</v>
      </c>
      <c r="AJ1127" t="s">
        <v>79</v>
      </c>
      <c r="AK1127" t="s">
        <v>70</v>
      </c>
    </row>
    <row r="1128" spans="1:37" x14ac:dyDescent="0.2">
      <c r="A1128">
        <v>50</v>
      </c>
      <c r="B1128" t="s">
        <v>43</v>
      </c>
      <c r="C1128" t="s">
        <v>67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 t="s">
        <v>72</v>
      </c>
      <c r="AJ1128" t="s">
        <v>81</v>
      </c>
      <c r="AK1128" t="s">
        <v>75</v>
      </c>
    </row>
    <row r="1129" spans="1:37" x14ac:dyDescent="0.2">
      <c r="A1129">
        <v>23</v>
      </c>
      <c r="B1129" t="s">
        <v>43</v>
      </c>
      <c r="C1129" t="s">
        <v>67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v>0</v>
      </c>
      <c r="AH1129">
        <v>0</v>
      </c>
      <c r="AI1129" t="s">
        <v>80</v>
      </c>
      <c r="AJ1129" t="s">
        <v>74</v>
      </c>
      <c r="AK1129" t="s">
        <v>77</v>
      </c>
    </row>
    <row r="1130" spans="1:37" x14ac:dyDescent="0.2">
      <c r="A1130">
        <v>36</v>
      </c>
      <c r="B1130" t="s">
        <v>43</v>
      </c>
      <c r="C1130" t="s">
        <v>71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v>0</v>
      </c>
      <c r="AH1130">
        <v>1</v>
      </c>
      <c r="AI1130" t="s">
        <v>68</v>
      </c>
      <c r="AJ1130" t="s">
        <v>69</v>
      </c>
      <c r="AK1130" t="s">
        <v>77</v>
      </c>
    </row>
    <row r="1131" spans="1:37" x14ac:dyDescent="0.2">
      <c r="A1131">
        <v>42</v>
      </c>
      <c r="B1131" t="s">
        <v>43</v>
      </c>
      <c r="C1131" t="s">
        <v>67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 t="s">
        <v>68</v>
      </c>
      <c r="AJ1131" t="s">
        <v>81</v>
      </c>
      <c r="AK1131" t="s">
        <v>75</v>
      </c>
    </row>
    <row r="1132" spans="1:37" x14ac:dyDescent="0.2">
      <c r="A1132">
        <v>35</v>
      </c>
      <c r="B1132" t="s">
        <v>43</v>
      </c>
      <c r="C1132" t="s">
        <v>67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v>0</v>
      </c>
      <c r="AH1132">
        <v>0</v>
      </c>
      <c r="AI1132" t="s">
        <v>68</v>
      </c>
      <c r="AJ1132" t="s">
        <v>69</v>
      </c>
      <c r="AK1132" t="s">
        <v>73</v>
      </c>
    </row>
    <row r="1133" spans="1:37" x14ac:dyDescent="0.2">
      <c r="A1133">
        <v>34</v>
      </c>
      <c r="B1133" t="s">
        <v>43</v>
      </c>
      <c r="C1133" t="s">
        <v>71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v>0</v>
      </c>
      <c r="AH1133">
        <v>0</v>
      </c>
      <c r="AI1133" t="s">
        <v>76</v>
      </c>
      <c r="AJ1133" t="s">
        <v>69</v>
      </c>
      <c r="AK1133" t="s">
        <v>70</v>
      </c>
    </row>
    <row r="1134" spans="1:37" x14ac:dyDescent="0.2">
      <c r="A1134">
        <v>40</v>
      </c>
      <c r="B1134" t="s">
        <v>43</v>
      </c>
      <c r="C1134" t="s">
        <v>67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v>0</v>
      </c>
      <c r="AH1134">
        <v>0</v>
      </c>
      <c r="AI1134" t="s">
        <v>68</v>
      </c>
      <c r="AJ1134" t="s">
        <v>69</v>
      </c>
      <c r="AK1134" t="s">
        <v>70</v>
      </c>
    </row>
    <row r="1135" spans="1:37" x14ac:dyDescent="0.2">
      <c r="A1135">
        <v>43</v>
      </c>
      <c r="B1135" t="s">
        <v>43</v>
      </c>
      <c r="C1135" t="s">
        <v>67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v>0</v>
      </c>
      <c r="AH1135">
        <v>0</v>
      </c>
      <c r="AI1135" t="s">
        <v>68</v>
      </c>
      <c r="AJ1135" t="s">
        <v>69</v>
      </c>
      <c r="AK1135" t="s">
        <v>70</v>
      </c>
    </row>
    <row r="1136" spans="1:37" x14ac:dyDescent="0.2">
      <c r="A1136">
        <v>35</v>
      </c>
      <c r="B1136" t="s">
        <v>43</v>
      </c>
      <c r="C1136" t="s">
        <v>67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 t="s">
        <v>68</v>
      </c>
      <c r="AJ1136" t="s">
        <v>74</v>
      </c>
      <c r="AK1136" t="s">
        <v>75</v>
      </c>
    </row>
    <row r="1137" spans="1:37" x14ac:dyDescent="0.2">
      <c r="A1137">
        <v>46</v>
      </c>
      <c r="B1137" t="s">
        <v>43</v>
      </c>
      <c r="C1137" t="s">
        <v>67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v>0</v>
      </c>
      <c r="AH1137">
        <v>0</v>
      </c>
      <c r="AI1137" t="s">
        <v>72</v>
      </c>
      <c r="AJ1137" t="s">
        <v>81</v>
      </c>
      <c r="AK1137" t="s">
        <v>73</v>
      </c>
    </row>
    <row r="1138" spans="1:37" x14ac:dyDescent="0.2">
      <c r="A1138">
        <v>28</v>
      </c>
      <c r="B1138" t="s">
        <v>35</v>
      </c>
      <c r="C1138" t="s">
        <v>67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v>1</v>
      </c>
      <c r="AH1138">
        <v>1</v>
      </c>
      <c r="AI1138" t="s">
        <v>76</v>
      </c>
      <c r="AJ1138" t="s">
        <v>74</v>
      </c>
      <c r="AK1138" t="s">
        <v>75</v>
      </c>
    </row>
    <row r="1139" spans="1:37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v>0</v>
      </c>
      <c r="AH1139">
        <v>1</v>
      </c>
      <c r="AI1139" t="s">
        <v>80</v>
      </c>
      <c r="AJ1139" t="s">
        <v>74</v>
      </c>
      <c r="AK1139" t="s">
        <v>77</v>
      </c>
    </row>
    <row r="1140" spans="1:37" x14ac:dyDescent="0.2">
      <c r="A1140">
        <v>50</v>
      </c>
      <c r="B1140" t="s">
        <v>43</v>
      </c>
      <c r="C1140" t="s">
        <v>71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v>0</v>
      </c>
      <c r="AH1140">
        <v>1</v>
      </c>
      <c r="AI1140" t="s">
        <v>72</v>
      </c>
      <c r="AJ1140" t="s">
        <v>81</v>
      </c>
      <c r="AK1140" t="s">
        <v>73</v>
      </c>
    </row>
    <row r="1141" spans="1:37" x14ac:dyDescent="0.2">
      <c r="A1141">
        <v>32</v>
      </c>
      <c r="B1141" t="s">
        <v>43</v>
      </c>
      <c r="C1141" t="s">
        <v>67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v>0</v>
      </c>
      <c r="AH1141">
        <v>0</v>
      </c>
      <c r="AI1141" t="s">
        <v>76</v>
      </c>
      <c r="AJ1141" t="s">
        <v>69</v>
      </c>
      <c r="AK1141" t="s">
        <v>77</v>
      </c>
    </row>
    <row r="1142" spans="1:37" x14ac:dyDescent="0.2">
      <c r="A1142">
        <v>44</v>
      </c>
      <c r="B1142" t="s">
        <v>43</v>
      </c>
      <c r="C1142" t="s">
        <v>67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v>0</v>
      </c>
      <c r="AH1142">
        <v>1</v>
      </c>
      <c r="AI1142" t="s">
        <v>68</v>
      </c>
      <c r="AJ1142" t="s">
        <v>81</v>
      </c>
      <c r="AK1142" t="s">
        <v>73</v>
      </c>
    </row>
    <row r="1143" spans="1:37" x14ac:dyDescent="0.2">
      <c r="A1143">
        <v>30</v>
      </c>
      <c r="B1143" t="s">
        <v>43</v>
      </c>
      <c r="C1143" t="s">
        <v>67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v>0</v>
      </c>
      <c r="AH1143">
        <v>0</v>
      </c>
      <c r="AI1143" t="s">
        <v>76</v>
      </c>
      <c r="AJ1143" t="s">
        <v>74</v>
      </c>
      <c r="AK1143" t="s">
        <v>70</v>
      </c>
    </row>
    <row r="1144" spans="1:37" x14ac:dyDescent="0.2">
      <c r="A1144">
        <v>45</v>
      </c>
      <c r="B1144" t="s">
        <v>43</v>
      </c>
      <c r="C1144" t="s">
        <v>67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v>0</v>
      </c>
      <c r="AH1144">
        <v>1</v>
      </c>
      <c r="AI1144" t="s">
        <v>72</v>
      </c>
      <c r="AJ1144" t="s">
        <v>69</v>
      </c>
      <c r="AK1144" t="s">
        <v>73</v>
      </c>
    </row>
    <row r="1145" spans="1:37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v>0</v>
      </c>
      <c r="AH1145">
        <v>0</v>
      </c>
      <c r="AI1145" t="s">
        <v>72</v>
      </c>
      <c r="AJ1145" t="s">
        <v>69</v>
      </c>
      <c r="AK1145" t="s">
        <v>73</v>
      </c>
    </row>
    <row r="1146" spans="1:37" x14ac:dyDescent="0.2">
      <c r="A1146">
        <v>31</v>
      </c>
      <c r="B1146" t="s">
        <v>43</v>
      </c>
      <c r="C1146" t="s">
        <v>71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v>0</v>
      </c>
      <c r="AH1146">
        <v>0</v>
      </c>
      <c r="AI1146" t="s">
        <v>76</v>
      </c>
      <c r="AJ1146" t="s">
        <v>69</v>
      </c>
      <c r="AK1146" t="s">
        <v>70</v>
      </c>
    </row>
    <row r="1147" spans="1:37" x14ac:dyDescent="0.2">
      <c r="A1147">
        <v>36</v>
      </c>
      <c r="B1147" t="s">
        <v>43</v>
      </c>
      <c r="C1147" t="s">
        <v>67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v>0</v>
      </c>
      <c r="AH1147">
        <v>1</v>
      </c>
      <c r="AI1147" t="s">
        <v>68</v>
      </c>
      <c r="AJ1147" t="s">
        <v>69</v>
      </c>
      <c r="AK1147" t="s">
        <v>77</v>
      </c>
    </row>
    <row r="1148" spans="1:37" x14ac:dyDescent="0.2">
      <c r="A1148">
        <v>34</v>
      </c>
      <c r="B1148" t="s">
        <v>43</v>
      </c>
      <c r="C1148" t="s">
        <v>71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v>0</v>
      </c>
      <c r="AH1148">
        <v>0</v>
      </c>
      <c r="AI1148" t="s">
        <v>76</v>
      </c>
      <c r="AJ1148" t="s">
        <v>69</v>
      </c>
      <c r="AK1148" t="s">
        <v>70</v>
      </c>
    </row>
    <row r="1149" spans="1:37" x14ac:dyDescent="0.2">
      <c r="A1149">
        <v>49</v>
      </c>
      <c r="B1149" t="s">
        <v>43</v>
      </c>
      <c r="C1149" t="s">
        <v>67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v>0</v>
      </c>
      <c r="AH1149">
        <v>0</v>
      </c>
      <c r="AI1149" t="s">
        <v>72</v>
      </c>
      <c r="AJ1149" t="s">
        <v>69</v>
      </c>
      <c r="AK1149" t="s">
        <v>70</v>
      </c>
    </row>
    <row r="1150" spans="1:37" x14ac:dyDescent="0.2">
      <c r="A1150">
        <v>39</v>
      </c>
      <c r="B1150" t="s">
        <v>43</v>
      </c>
      <c r="C1150" t="s">
        <v>67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v>0</v>
      </c>
      <c r="AH1150">
        <v>0</v>
      </c>
      <c r="AI1150" t="s">
        <v>68</v>
      </c>
      <c r="AJ1150" t="s">
        <v>69</v>
      </c>
      <c r="AK1150" t="s">
        <v>70</v>
      </c>
    </row>
    <row r="1151" spans="1:37" x14ac:dyDescent="0.2">
      <c r="A1151">
        <v>27</v>
      </c>
      <c r="B1151" t="s">
        <v>43</v>
      </c>
      <c r="C1151" t="s">
        <v>67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v>0</v>
      </c>
      <c r="AH1151">
        <v>0</v>
      </c>
      <c r="AI1151" t="s">
        <v>76</v>
      </c>
      <c r="AJ1151" t="s">
        <v>69</v>
      </c>
      <c r="AK1151" t="s">
        <v>70</v>
      </c>
    </row>
    <row r="1152" spans="1:37" x14ac:dyDescent="0.2">
      <c r="A1152">
        <v>35</v>
      </c>
      <c r="B1152" t="s">
        <v>43</v>
      </c>
      <c r="C1152" t="s">
        <v>67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v>0</v>
      </c>
      <c r="AH1152">
        <v>0</v>
      </c>
      <c r="AI1152" t="s">
        <v>68</v>
      </c>
      <c r="AJ1152" t="s">
        <v>69</v>
      </c>
      <c r="AK1152" t="s">
        <v>73</v>
      </c>
    </row>
    <row r="1153" spans="1:37" x14ac:dyDescent="0.2">
      <c r="A1153">
        <v>28</v>
      </c>
      <c r="B1153" t="s">
        <v>43</v>
      </c>
      <c r="C1153" t="s">
        <v>67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v>0</v>
      </c>
      <c r="AH1153">
        <v>0</v>
      </c>
      <c r="AI1153" t="s">
        <v>76</v>
      </c>
      <c r="AJ1153" t="s">
        <v>69</v>
      </c>
      <c r="AK1153" t="s">
        <v>70</v>
      </c>
    </row>
    <row r="1154" spans="1:37" x14ac:dyDescent="0.2">
      <c r="A1154">
        <v>21</v>
      </c>
      <c r="B1154" t="s">
        <v>43</v>
      </c>
      <c r="C1154" t="s">
        <v>67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v>0</v>
      </c>
      <c r="AH1154">
        <v>0</v>
      </c>
      <c r="AI1154" t="s">
        <v>80</v>
      </c>
      <c r="AJ1154" t="s">
        <v>69</v>
      </c>
      <c r="AK1154" t="s">
        <v>77</v>
      </c>
    </row>
    <row r="1155" spans="1:37" x14ac:dyDescent="0.2">
      <c r="A1155">
        <v>18</v>
      </c>
      <c r="B1155" t="s">
        <v>35</v>
      </c>
      <c r="C1155" t="s">
        <v>71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1</v>
      </c>
      <c r="AI1155" t="s">
        <v>80</v>
      </c>
      <c r="AJ1155" t="s">
        <v>74</v>
      </c>
      <c r="AK1155" t="s">
        <v>75</v>
      </c>
    </row>
    <row r="1156" spans="1:37" x14ac:dyDescent="0.2">
      <c r="A1156">
        <v>47</v>
      </c>
      <c r="B1156" t="s">
        <v>43</v>
      </c>
      <c r="C1156" t="s">
        <v>67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v>0</v>
      </c>
      <c r="AH1156">
        <v>0</v>
      </c>
      <c r="AI1156" t="s">
        <v>72</v>
      </c>
      <c r="AJ1156" t="s">
        <v>81</v>
      </c>
      <c r="AK1156" t="s">
        <v>70</v>
      </c>
    </row>
    <row r="1157" spans="1:37" x14ac:dyDescent="0.2">
      <c r="A1157">
        <v>39</v>
      </c>
      <c r="B1157" t="s">
        <v>43</v>
      </c>
      <c r="C1157" t="s">
        <v>67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v>0</v>
      </c>
      <c r="AH1157">
        <v>0</v>
      </c>
      <c r="AI1157" t="s">
        <v>68</v>
      </c>
      <c r="AJ1157" t="s">
        <v>69</v>
      </c>
      <c r="AK1157" t="s">
        <v>73</v>
      </c>
    </row>
    <row r="1158" spans="1:37" x14ac:dyDescent="0.2">
      <c r="A1158">
        <v>40</v>
      </c>
      <c r="B1158" t="s">
        <v>43</v>
      </c>
      <c r="C1158" t="s">
        <v>67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v>0</v>
      </c>
      <c r="AH1158">
        <v>0</v>
      </c>
      <c r="AI1158" t="s">
        <v>68</v>
      </c>
      <c r="AJ1158" t="s">
        <v>81</v>
      </c>
      <c r="AK1158" t="s">
        <v>73</v>
      </c>
    </row>
    <row r="1159" spans="1:37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v>0</v>
      </c>
      <c r="AH1159">
        <v>0</v>
      </c>
      <c r="AI1159" t="s">
        <v>68</v>
      </c>
      <c r="AJ1159" t="s">
        <v>69</v>
      </c>
      <c r="AK1159" t="s">
        <v>73</v>
      </c>
    </row>
    <row r="1160" spans="1:37" x14ac:dyDescent="0.2">
      <c r="A1160">
        <v>37</v>
      </c>
      <c r="B1160" t="s">
        <v>43</v>
      </c>
      <c r="C1160" t="s">
        <v>67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v>0</v>
      </c>
      <c r="AH1160">
        <v>0</v>
      </c>
      <c r="AI1160" t="s">
        <v>68</v>
      </c>
      <c r="AJ1160" t="s">
        <v>69</v>
      </c>
      <c r="AK1160" t="s">
        <v>77</v>
      </c>
    </row>
    <row r="1161" spans="1:37" x14ac:dyDescent="0.2">
      <c r="A1161">
        <v>39</v>
      </c>
      <c r="B1161" t="s">
        <v>43</v>
      </c>
      <c r="C1161" t="s">
        <v>71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v>0</v>
      </c>
      <c r="AH1161">
        <v>0</v>
      </c>
      <c r="AI1161" t="s">
        <v>68</v>
      </c>
      <c r="AJ1161" t="s">
        <v>69</v>
      </c>
      <c r="AK1161" t="s">
        <v>70</v>
      </c>
    </row>
    <row r="1162" spans="1:37" x14ac:dyDescent="0.2">
      <c r="A1162">
        <v>45</v>
      </c>
      <c r="B1162" t="s">
        <v>43</v>
      </c>
      <c r="C1162" t="s">
        <v>67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v>0</v>
      </c>
      <c r="AH1162">
        <v>0</v>
      </c>
      <c r="AI1162" t="s">
        <v>72</v>
      </c>
      <c r="AJ1162" t="s">
        <v>69</v>
      </c>
      <c r="AK1162" t="s">
        <v>73</v>
      </c>
    </row>
    <row r="1163" spans="1:37" x14ac:dyDescent="0.2">
      <c r="A1163">
        <v>38</v>
      </c>
      <c r="B1163" t="s">
        <v>43</v>
      </c>
      <c r="C1163" t="s">
        <v>67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v>0</v>
      </c>
      <c r="AH1163">
        <v>1</v>
      </c>
      <c r="AI1163" t="s">
        <v>68</v>
      </c>
      <c r="AJ1163" t="s">
        <v>79</v>
      </c>
      <c r="AK1163" t="s">
        <v>70</v>
      </c>
    </row>
    <row r="1164" spans="1:37" x14ac:dyDescent="0.2">
      <c r="A1164">
        <v>35</v>
      </c>
      <c r="B1164" t="s">
        <v>35</v>
      </c>
      <c r="C1164" t="s">
        <v>67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v>1</v>
      </c>
      <c r="AH1164">
        <v>0</v>
      </c>
      <c r="AI1164" t="s">
        <v>68</v>
      </c>
      <c r="AJ1164" t="s">
        <v>81</v>
      </c>
      <c r="AK1164" t="s">
        <v>73</v>
      </c>
    </row>
    <row r="1165" spans="1:37" x14ac:dyDescent="0.2">
      <c r="A1165">
        <v>37</v>
      </c>
      <c r="B1165" t="s">
        <v>43</v>
      </c>
      <c r="C1165" t="s">
        <v>67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v>0</v>
      </c>
      <c r="AH1165">
        <v>0</v>
      </c>
      <c r="AI1165" t="s">
        <v>68</v>
      </c>
      <c r="AJ1165" t="s">
        <v>69</v>
      </c>
      <c r="AK1165" t="s">
        <v>70</v>
      </c>
    </row>
    <row r="1166" spans="1:37" x14ac:dyDescent="0.2">
      <c r="A1166">
        <v>40</v>
      </c>
      <c r="B1166" t="s">
        <v>43</v>
      </c>
      <c r="C1166" t="s">
        <v>67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v>0</v>
      </c>
      <c r="AH1166">
        <v>1</v>
      </c>
      <c r="AI1166" t="s">
        <v>68</v>
      </c>
      <c r="AJ1166" t="s">
        <v>79</v>
      </c>
      <c r="AK1166" t="s">
        <v>77</v>
      </c>
    </row>
    <row r="1167" spans="1:37" x14ac:dyDescent="0.2">
      <c r="A1167">
        <v>44</v>
      </c>
      <c r="B1167" t="s">
        <v>43</v>
      </c>
      <c r="C1167" t="s">
        <v>71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v>0</v>
      </c>
      <c r="AH1167">
        <v>1</v>
      </c>
      <c r="AI1167" t="s">
        <v>68</v>
      </c>
      <c r="AJ1167" t="s">
        <v>69</v>
      </c>
      <c r="AK1167" t="s">
        <v>73</v>
      </c>
    </row>
    <row r="1168" spans="1:37" x14ac:dyDescent="0.2">
      <c r="A1168">
        <v>48</v>
      </c>
      <c r="B1168" t="s">
        <v>43</v>
      </c>
      <c r="C1168" t="s">
        <v>71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v>0</v>
      </c>
      <c r="AH1168">
        <v>0</v>
      </c>
      <c r="AI1168" t="s">
        <v>72</v>
      </c>
      <c r="AJ1168" t="s">
        <v>81</v>
      </c>
      <c r="AK1168" t="s">
        <v>77</v>
      </c>
    </row>
    <row r="1169" spans="1:37" x14ac:dyDescent="0.2">
      <c r="A1169">
        <v>35</v>
      </c>
      <c r="B1169" t="s">
        <v>35</v>
      </c>
      <c r="C1169" t="s">
        <v>67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1</v>
      </c>
      <c r="AH1169">
        <v>1</v>
      </c>
      <c r="AI1169" t="s">
        <v>68</v>
      </c>
      <c r="AJ1169" t="s">
        <v>69</v>
      </c>
      <c r="AK1169" t="s">
        <v>77</v>
      </c>
    </row>
    <row r="1170" spans="1:37" x14ac:dyDescent="0.2">
      <c r="A1170">
        <v>24</v>
      </c>
      <c r="B1170" t="s">
        <v>43</v>
      </c>
      <c r="C1170" t="s">
        <v>71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v>0</v>
      </c>
      <c r="AH1170">
        <v>1</v>
      </c>
      <c r="AI1170" t="s">
        <v>80</v>
      </c>
      <c r="AJ1170" t="s">
        <v>69</v>
      </c>
      <c r="AK1170" t="s">
        <v>70</v>
      </c>
    </row>
    <row r="1171" spans="1:37" x14ac:dyDescent="0.2">
      <c r="A1171">
        <v>27</v>
      </c>
      <c r="B1171" t="s">
        <v>43</v>
      </c>
      <c r="C1171" t="s">
        <v>67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v>0</v>
      </c>
      <c r="AH1171">
        <v>0</v>
      </c>
      <c r="AI1171" t="s">
        <v>76</v>
      </c>
      <c r="AJ1171" t="s">
        <v>69</v>
      </c>
      <c r="AK1171" t="s">
        <v>77</v>
      </c>
    </row>
    <row r="1172" spans="1:37" x14ac:dyDescent="0.2">
      <c r="A1172">
        <v>27</v>
      </c>
      <c r="B1172" t="s">
        <v>43</v>
      </c>
      <c r="C1172" t="s">
        <v>71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v>0</v>
      </c>
      <c r="AH1172">
        <v>0</v>
      </c>
      <c r="AI1172" t="s">
        <v>76</v>
      </c>
      <c r="AJ1172" t="s">
        <v>74</v>
      </c>
      <c r="AK1172" t="s">
        <v>77</v>
      </c>
    </row>
    <row r="1173" spans="1:37" x14ac:dyDescent="0.2">
      <c r="A1173">
        <v>40</v>
      </c>
      <c r="B1173" t="s">
        <v>35</v>
      </c>
      <c r="C1173" t="s">
        <v>67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v>1</v>
      </c>
      <c r="AH1173">
        <v>1</v>
      </c>
      <c r="AI1173" t="s">
        <v>68</v>
      </c>
      <c r="AJ1173" t="s">
        <v>74</v>
      </c>
      <c r="AK1173" t="s">
        <v>77</v>
      </c>
    </row>
    <row r="1174" spans="1:37" x14ac:dyDescent="0.2">
      <c r="A1174">
        <v>29</v>
      </c>
      <c r="B1174" t="s">
        <v>43</v>
      </c>
      <c r="C1174" t="s">
        <v>67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v>0</v>
      </c>
      <c r="AH1174">
        <v>0</v>
      </c>
      <c r="AI1174" t="s">
        <v>76</v>
      </c>
      <c r="AJ1174" t="s">
        <v>69</v>
      </c>
      <c r="AK1174" t="s">
        <v>70</v>
      </c>
    </row>
    <row r="1175" spans="1:37" x14ac:dyDescent="0.2">
      <c r="A1175">
        <v>36</v>
      </c>
      <c r="B1175" t="s">
        <v>43</v>
      </c>
      <c r="C1175" t="s">
        <v>67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v>0</v>
      </c>
      <c r="AH1175">
        <v>0</v>
      </c>
      <c r="AI1175" t="s">
        <v>68</v>
      </c>
      <c r="AJ1175" t="s">
        <v>79</v>
      </c>
      <c r="AK1175" t="s">
        <v>77</v>
      </c>
    </row>
    <row r="1176" spans="1:37" x14ac:dyDescent="0.2">
      <c r="A1176">
        <v>25</v>
      </c>
      <c r="B1176" t="s">
        <v>43</v>
      </c>
      <c r="C1176" t="s">
        <v>71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v>0</v>
      </c>
      <c r="AH1176">
        <v>0</v>
      </c>
      <c r="AI1176" t="s">
        <v>76</v>
      </c>
      <c r="AJ1176" t="s">
        <v>69</v>
      </c>
      <c r="AK1176" t="s">
        <v>70</v>
      </c>
    </row>
    <row r="1177" spans="1:37" x14ac:dyDescent="0.2">
      <c r="A1177">
        <v>39</v>
      </c>
      <c r="B1177" t="s">
        <v>43</v>
      </c>
      <c r="C1177" t="s">
        <v>67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v>0</v>
      </c>
      <c r="AH1177">
        <v>0</v>
      </c>
      <c r="AI1177" t="s">
        <v>68</v>
      </c>
      <c r="AJ1177" t="s">
        <v>69</v>
      </c>
      <c r="AK1177" t="s">
        <v>70</v>
      </c>
    </row>
    <row r="1178" spans="1:37" x14ac:dyDescent="0.2">
      <c r="A1178">
        <v>49</v>
      </c>
      <c r="B1178" t="s">
        <v>43</v>
      </c>
      <c r="C1178" t="s">
        <v>67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v>0</v>
      </c>
      <c r="AH1178">
        <v>0</v>
      </c>
      <c r="AI1178" t="s">
        <v>72</v>
      </c>
      <c r="AJ1178" t="s">
        <v>81</v>
      </c>
      <c r="AK1178" t="s">
        <v>77</v>
      </c>
    </row>
    <row r="1179" spans="1:37" x14ac:dyDescent="0.2">
      <c r="A1179">
        <v>50</v>
      </c>
      <c r="B1179" t="s">
        <v>43</v>
      </c>
      <c r="C1179" t="s">
        <v>67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v>0</v>
      </c>
      <c r="AH1179">
        <v>0</v>
      </c>
      <c r="AI1179" t="s">
        <v>72</v>
      </c>
      <c r="AJ1179" t="s">
        <v>81</v>
      </c>
      <c r="AK1179" t="s">
        <v>73</v>
      </c>
    </row>
    <row r="1180" spans="1:37" x14ac:dyDescent="0.2">
      <c r="A1180">
        <v>20</v>
      </c>
      <c r="B1180" t="s">
        <v>43</v>
      </c>
      <c r="C1180" t="s">
        <v>67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v>0</v>
      </c>
      <c r="AH1180">
        <v>0</v>
      </c>
      <c r="AI1180" t="s">
        <v>80</v>
      </c>
      <c r="AJ1180" t="s">
        <v>74</v>
      </c>
      <c r="AK1180" t="s">
        <v>77</v>
      </c>
    </row>
    <row r="1181" spans="1:37" x14ac:dyDescent="0.2">
      <c r="A1181">
        <v>34</v>
      </c>
      <c r="B1181" t="s">
        <v>43</v>
      </c>
      <c r="C1181" t="s">
        <v>67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v>0</v>
      </c>
      <c r="AH1181">
        <v>0</v>
      </c>
      <c r="AI1181" t="s">
        <v>76</v>
      </c>
      <c r="AJ1181" t="s">
        <v>69</v>
      </c>
      <c r="AK1181" t="s">
        <v>73</v>
      </c>
    </row>
    <row r="1182" spans="1:37" x14ac:dyDescent="0.2">
      <c r="A1182">
        <v>36</v>
      </c>
      <c r="B1182" t="s">
        <v>43</v>
      </c>
      <c r="C1182" t="s">
        <v>67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v>0</v>
      </c>
      <c r="AH1182">
        <v>0</v>
      </c>
      <c r="AI1182" t="s">
        <v>68</v>
      </c>
      <c r="AJ1182" t="s">
        <v>74</v>
      </c>
      <c r="AK1182" t="s">
        <v>77</v>
      </c>
    </row>
    <row r="1183" spans="1:37" x14ac:dyDescent="0.2">
      <c r="A1183">
        <v>49</v>
      </c>
      <c r="B1183" t="s">
        <v>43</v>
      </c>
      <c r="C1183" t="s">
        <v>67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v>0</v>
      </c>
      <c r="AH1183">
        <v>1</v>
      </c>
      <c r="AI1183" t="s">
        <v>72</v>
      </c>
      <c r="AJ1183" t="s">
        <v>81</v>
      </c>
      <c r="AK1183" t="s">
        <v>73</v>
      </c>
    </row>
    <row r="1184" spans="1:37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v>0</v>
      </c>
      <c r="AH1184">
        <v>0</v>
      </c>
      <c r="AI1184" t="s">
        <v>68</v>
      </c>
      <c r="AJ1184" t="s">
        <v>69</v>
      </c>
      <c r="AK1184" t="s">
        <v>77</v>
      </c>
    </row>
    <row r="1185" spans="1:37" x14ac:dyDescent="0.2">
      <c r="A1185">
        <v>36</v>
      </c>
      <c r="B1185" t="s">
        <v>43</v>
      </c>
      <c r="C1185" t="s">
        <v>67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v>0</v>
      </c>
      <c r="AH1185">
        <v>0</v>
      </c>
      <c r="AI1185" t="s">
        <v>68</v>
      </c>
      <c r="AJ1185" t="s">
        <v>79</v>
      </c>
      <c r="AK1185" t="s">
        <v>70</v>
      </c>
    </row>
    <row r="1186" spans="1:37" x14ac:dyDescent="0.2">
      <c r="A1186">
        <v>54</v>
      </c>
      <c r="B1186" t="s">
        <v>43</v>
      </c>
      <c r="C1186" t="s">
        <v>67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v>0</v>
      </c>
      <c r="AH1186">
        <v>0</v>
      </c>
      <c r="AI1186" t="s">
        <v>72</v>
      </c>
      <c r="AJ1186" t="s">
        <v>81</v>
      </c>
      <c r="AK1186" t="s">
        <v>73</v>
      </c>
    </row>
    <row r="1187" spans="1:37" x14ac:dyDescent="0.2">
      <c r="A1187">
        <v>43</v>
      </c>
      <c r="B1187" t="s">
        <v>43</v>
      </c>
      <c r="C1187" t="s">
        <v>67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v>0</v>
      </c>
      <c r="AH1187">
        <v>0</v>
      </c>
      <c r="AI1187" t="s">
        <v>68</v>
      </c>
      <c r="AJ1187" t="s">
        <v>81</v>
      </c>
      <c r="AK1187" t="s">
        <v>73</v>
      </c>
    </row>
    <row r="1188" spans="1:37" x14ac:dyDescent="0.2">
      <c r="A1188">
        <v>35</v>
      </c>
      <c r="B1188" t="s">
        <v>35</v>
      </c>
      <c r="C1188" t="s">
        <v>71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v>1</v>
      </c>
      <c r="AH1188">
        <v>1</v>
      </c>
      <c r="AI1188" t="s">
        <v>68</v>
      </c>
      <c r="AJ1188" t="s">
        <v>69</v>
      </c>
      <c r="AK1188" t="s">
        <v>73</v>
      </c>
    </row>
    <row r="1189" spans="1:37" x14ac:dyDescent="0.2">
      <c r="A1189">
        <v>38</v>
      </c>
      <c r="B1189" t="s">
        <v>43</v>
      </c>
      <c r="C1189" t="s">
        <v>71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v>0</v>
      </c>
      <c r="AH1189">
        <v>0</v>
      </c>
      <c r="AI1189" t="s">
        <v>68</v>
      </c>
      <c r="AJ1189" t="s">
        <v>69</v>
      </c>
      <c r="AK1189" t="s">
        <v>73</v>
      </c>
    </row>
    <row r="1190" spans="1:37" x14ac:dyDescent="0.2">
      <c r="A1190">
        <v>29</v>
      </c>
      <c r="B1190" t="s">
        <v>43</v>
      </c>
      <c r="C1190" t="s">
        <v>67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v>0</v>
      </c>
      <c r="AH1190">
        <v>1</v>
      </c>
      <c r="AI1190" t="s">
        <v>76</v>
      </c>
      <c r="AJ1190" t="s">
        <v>69</v>
      </c>
      <c r="AK1190" t="s">
        <v>73</v>
      </c>
    </row>
    <row r="1191" spans="1:37" x14ac:dyDescent="0.2">
      <c r="A1191">
        <v>33</v>
      </c>
      <c r="B1191" t="s">
        <v>43</v>
      </c>
      <c r="C1191" t="s">
        <v>67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v>0</v>
      </c>
      <c r="AH1191">
        <v>0</v>
      </c>
      <c r="AI1191" t="s">
        <v>76</v>
      </c>
      <c r="AJ1191" t="s">
        <v>69</v>
      </c>
      <c r="AK1191" t="s">
        <v>70</v>
      </c>
    </row>
    <row r="1192" spans="1:37" x14ac:dyDescent="0.2">
      <c r="A1192">
        <v>32</v>
      </c>
      <c r="B1192" t="s">
        <v>43</v>
      </c>
      <c r="C1192" t="s">
        <v>67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v>0</v>
      </c>
      <c r="AH1192">
        <v>0</v>
      </c>
      <c r="AI1192" t="s">
        <v>76</v>
      </c>
      <c r="AJ1192" t="s">
        <v>69</v>
      </c>
      <c r="AK1192" t="s">
        <v>70</v>
      </c>
    </row>
    <row r="1193" spans="1:37" x14ac:dyDescent="0.2">
      <c r="A1193">
        <v>31</v>
      </c>
      <c r="B1193" t="s">
        <v>43</v>
      </c>
      <c r="C1193" t="s">
        <v>67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v>0</v>
      </c>
      <c r="AH1193">
        <v>0</v>
      </c>
      <c r="AI1193" t="s">
        <v>76</v>
      </c>
      <c r="AJ1193" t="s">
        <v>69</v>
      </c>
      <c r="AK1193" t="s">
        <v>73</v>
      </c>
    </row>
    <row r="1194" spans="1:37" x14ac:dyDescent="0.2">
      <c r="A1194">
        <v>49</v>
      </c>
      <c r="B1194" t="s">
        <v>43</v>
      </c>
      <c r="C1194" t="s">
        <v>67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0</v>
      </c>
      <c r="AH1194">
        <v>1</v>
      </c>
      <c r="AI1194" t="s">
        <v>72</v>
      </c>
      <c r="AJ1194" t="s">
        <v>74</v>
      </c>
      <c r="AK1194" t="s">
        <v>77</v>
      </c>
    </row>
    <row r="1195" spans="1:37" x14ac:dyDescent="0.2">
      <c r="A1195">
        <v>38</v>
      </c>
      <c r="B1195" t="s">
        <v>43</v>
      </c>
      <c r="C1195" t="s">
        <v>71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v>0</v>
      </c>
      <c r="AH1195">
        <v>0</v>
      </c>
      <c r="AI1195" t="s">
        <v>68</v>
      </c>
      <c r="AJ1195" t="s">
        <v>74</v>
      </c>
      <c r="AK1195" t="s">
        <v>77</v>
      </c>
    </row>
    <row r="1196" spans="1:37" x14ac:dyDescent="0.2">
      <c r="A1196">
        <v>47</v>
      </c>
      <c r="B1196" t="s">
        <v>43</v>
      </c>
      <c r="C1196" t="s">
        <v>67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v>0</v>
      </c>
      <c r="AH1196">
        <v>0</v>
      </c>
      <c r="AI1196" t="s">
        <v>72</v>
      </c>
      <c r="AJ1196" t="s">
        <v>81</v>
      </c>
      <c r="AK1196" t="s">
        <v>77</v>
      </c>
    </row>
    <row r="1197" spans="1:37" x14ac:dyDescent="0.2">
      <c r="A1197">
        <v>49</v>
      </c>
      <c r="B1197" t="s">
        <v>43</v>
      </c>
      <c r="C1197" t="s">
        <v>67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v>0</v>
      </c>
      <c r="AH1197">
        <v>0</v>
      </c>
      <c r="AI1197" t="s">
        <v>72</v>
      </c>
      <c r="AJ1197" t="s">
        <v>81</v>
      </c>
      <c r="AK1197" t="s">
        <v>70</v>
      </c>
    </row>
    <row r="1198" spans="1:37" x14ac:dyDescent="0.2">
      <c r="A1198">
        <v>41</v>
      </c>
      <c r="B1198" t="s">
        <v>43</v>
      </c>
      <c r="C1198" t="s">
        <v>67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v>0</v>
      </c>
      <c r="AH1198">
        <v>1</v>
      </c>
      <c r="AI1198" t="s">
        <v>68</v>
      </c>
      <c r="AJ1198" t="s">
        <v>79</v>
      </c>
      <c r="AK1198" t="s">
        <v>77</v>
      </c>
    </row>
    <row r="1199" spans="1:37" x14ac:dyDescent="0.2">
      <c r="A1199">
        <v>20</v>
      </c>
      <c r="B1199" t="s">
        <v>43</v>
      </c>
      <c r="C1199" t="s">
        <v>67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v>0</v>
      </c>
      <c r="AH1199">
        <v>0</v>
      </c>
      <c r="AI1199" t="s">
        <v>80</v>
      </c>
      <c r="AJ1199" t="s">
        <v>74</v>
      </c>
      <c r="AK1199" t="s">
        <v>77</v>
      </c>
    </row>
    <row r="1200" spans="1:37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v>0</v>
      </c>
      <c r="AH1200">
        <v>1</v>
      </c>
      <c r="AI1200" t="s">
        <v>76</v>
      </c>
      <c r="AJ1200" t="s">
        <v>69</v>
      </c>
      <c r="AK1200" t="s">
        <v>70</v>
      </c>
    </row>
    <row r="1201" spans="1:37" x14ac:dyDescent="0.2">
      <c r="A1201">
        <v>36</v>
      </c>
      <c r="B1201" t="s">
        <v>43</v>
      </c>
      <c r="C1201" t="s">
        <v>67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v>0</v>
      </c>
      <c r="AH1201">
        <v>0</v>
      </c>
      <c r="AI1201" t="s">
        <v>68</v>
      </c>
      <c r="AJ1201" t="s">
        <v>69</v>
      </c>
      <c r="AK1201" t="s">
        <v>77</v>
      </c>
    </row>
    <row r="1202" spans="1:37" x14ac:dyDescent="0.2">
      <c r="A1202">
        <v>44</v>
      </c>
      <c r="B1202" t="s">
        <v>43</v>
      </c>
      <c r="C1202" t="s">
        <v>67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0</v>
      </c>
      <c r="AH1202">
        <v>1</v>
      </c>
      <c r="AI1202" t="s">
        <v>68</v>
      </c>
      <c r="AJ1202" t="s">
        <v>69</v>
      </c>
      <c r="AK1202" t="s">
        <v>77</v>
      </c>
    </row>
    <row r="1203" spans="1:37" x14ac:dyDescent="0.2">
      <c r="A1203">
        <v>23</v>
      </c>
      <c r="B1203" t="s">
        <v>35</v>
      </c>
      <c r="C1203" t="s">
        <v>67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v>1</v>
      </c>
      <c r="AH1203">
        <v>1</v>
      </c>
      <c r="AI1203" t="s">
        <v>80</v>
      </c>
      <c r="AJ1203" t="s">
        <v>69</v>
      </c>
      <c r="AK1203" t="s">
        <v>70</v>
      </c>
    </row>
    <row r="1204" spans="1:37" x14ac:dyDescent="0.2">
      <c r="A1204">
        <v>38</v>
      </c>
      <c r="B1204" t="s">
        <v>43</v>
      </c>
      <c r="C1204" t="s">
        <v>67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68</v>
      </c>
      <c r="AJ1204" t="s">
        <v>69</v>
      </c>
      <c r="AK1204" t="s">
        <v>75</v>
      </c>
    </row>
    <row r="1205" spans="1:37" x14ac:dyDescent="0.2">
      <c r="A1205">
        <v>53</v>
      </c>
      <c r="B1205" t="s">
        <v>43</v>
      </c>
      <c r="C1205" t="s">
        <v>67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v>0</v>
      </c>
      <c r="AH1205">
        <v>0</v>
      </c>
      <c r="AI1205" t="s">
        <v>72</v>
      </c>
      <c r="AJ1205" t="s">
        <v>79</v>
      </c>
      <c r="AK1205" t="s">
        <v>77</v>
      </c>
    </row>
    <row r="1206" spans="1:37" x14ac:dyDescent="0.2">
      <c r="A1206">
        <v>48</v>
      </c>
      <c r="B1206" t="s">
        <v>35</v>
      </c>
      <c r="C1206" t="s">
        <v>71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v>1</v>
      </c>
      <c r="AH1206">
        <v>1</v>
      </c>
      <c r="AI1206" t="s">
        <v>72</v>
      </c>
      <c r="AJ1206" t="s">
        <v>74</v>
      </c>
      <c r="AK1206" t="s">
        <v>70</v>
      </c>
    </row>
    <row r="1207" spans="1:37" x14ac:dyDescent="0.2">
      <c r="A1207">
        <v>32</v>
      </c>
      <c r="B1207" t="s">
        <v>35</v>
      </c>
      <c r="C1207" t="s">
        <v>67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 t="s">
        <v>76</v>
      </c>
      <c r="AJ1207" t="s">
        <v>74</v>
      </c>
      <c r="AK1207" t="s">
        <v>75</v>
      </c>
    </row>
    <row r="1208" spans="1:37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v>0</v>
      </c>
      <c r="AH1208">
        <v>0</v>
      </c>
      <c r="AI1208" t="s">
        <v>76</v>
      </c>
      <c r="AJ1208" t="s">
        <v>74</v>
      </c>
      <c r="AK1208" t="s">
        <v>70</v>
      </c>
    </row>
    <row r="1209" spans="1:37" x14ac:dyDescent="0.2">
      <c r="A1209">
        <v>55</v>
      </c>
      <c r="B1209" t="s">
        <v>43</v>
      </c>
      <c r="C1209" t="s">
        <v>67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v>0</v>
      </c>
      <c r="AH1209">
        <v>0</v>
      </c>
      <c r="AI1209" t="s">
        <v>78</v>
      </c>
      <c r="AJ1209" t="s">
        <v>69</v>
      </c>
      <c r="AK1209" t="s">
        <v>77</v>
      </c>
    </row>
    <row r="1210" spans="1:37" x14ac:dyDescent="0.2">
      <c r="A1210">
        <v>34</v>
      </c>
      <c r="B1210" t="s">
        <v>43</v>
      </c>
      <c r="C1210" t="s">
        <v>67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v>0</v>
      </c>
      <c r="AH1210">
        <v>0</v>
      </c>
      <c r="AI1210" t="s">
        <v>76</v>
      </c>
      <c r="AJ1210" t="s">
        <v>69</v>
      </c>
      <c r="AK1210" t="s">
        <v>73</v>
      </c>
    </row>
    <row r="1211" spans="1:37" x14ac:dyDescent="0.2">
      <c r="A1211">
        <v>60</v>
      </c>
      <c r="B1211" t="s">
        <v>43</v>
      </c>
      <c r="C1211" t="s">
        <v>67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78</v>
      </c>
      <c r="AJ1211" t="s">
        <v>81</v>
      </c>
      <c r="AK1211" t="s">
        <v>75</v>
      </c>
    </row>
    <row r="1212" spans="1:37" x14ac:dyDescent="0.2">
      <c r="A1212">
        <v>33</v>
      </c>
      <c r="B1212" t="s">
        <v>43</v>
      </c>
      <c r="C1212" t="s">
        <v>67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v>0</v>
      </c>
      <c r="AH1212">
        <v>0</v>
      </c>
      <c r="AI1212" t="s">
        <v>76</v>
      </c>
      <c r="AJ1212" t="s">
        <v>74</v>
      </c>
      <c r="AK1212" t="s">
        <v>73</v>
      </c>
    </row>
    <row r="1213" spans="1:37" x14ac:dyDescent="0.2">
      <c r="A1213">
        <v>37</v>
      </c>
      <c r="B1213" t="s">
        <v>43</v>
      </c>
      <c r="C1213" t="s">
        <v>71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v>0</v>
      </c>
      <c r="AH1213">
        <v>0</v>
      </c>
      <c r="AI1213" t="s">
        <v>68</v>
      </c>
      <c r="AJ1213" t="s">
        <v>79</v>
      </c>
      <c r="AK1213" t="s">
        <v>70</v>
      </c>
    </row>
    <row r="1214" spans="1:37" x14ac:dyDescent="0.2">
      <c r="A1214">
        <v>34</v>
      </c>
      <c r="B1214" t="s">
        <v>43</v>
      </c>
      <c r="C1214" t="s">
        <v>67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v>0</v>
      </c>
      <c r="AH1214">
        <v>0</v>
      </c>
      <c r="AI1214" t="s">
        <v>76</v>
      </c>
      <c r="AJ1214" t="s">
        <v>74</v>
      </c>
      <c r="AK1214" t="s">
        <v>73</v>
      </c>
    </row>
    <row r="1215" spans="1:37" x14ac:dyDescent="0.2">
      <c r="A1215">
        <v>23</v>
      </c>
      <c r="B1215" t="s">
        <v>35</v>
      </c>
      <c r="C1215" t="s">
        <v>67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v>1</v>
      </c>
      <c r="AH1215">
        <v>1</v>
      </c>
      <c r="AI1215" t="s">
        <v>80</v>
      </c>
      <c r="AJ1215" t="s">
        <v>74</v>
      </c>
      <c r="AK1215" t="s">
        <v>77</v>
      </c>
    </row>
    <row r="1216" spans="1:37" x14ac:dyDescent="0.2">
      <c r="A1216">
        <v>44</v>
      </c>
      <c r="B1216" t="s">
        <v>43</v>
      </c>
      <c r="C1216" t="s">
        <v>67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v>0</v>
      </c>
      <c r="AH1216">
        <v>1</v>
      </c>
      <c r="AI1216" t="s">
        <v>68</v>
      </c>
      <c r="AJ1216" t="s">
        <v>79</v>
      </c>
      <c r="AK1216" t="s">
        <v>70</v>
      </c>
    </row>
    <row r="1217" spans="1:37" x14ac:dyDescent="0.2">
      <c r="A1217">
        <v>35</v>
      </c>
      <c r="B1217" t="s">
        <v>43</v>
      </c>
      <c r="C1217" t="s">
        <v>71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v>0</v>
      </c>
      <c r="AH1217">
        <v>1</v>
      </c>
      <c r="AI1217" t="s">
        <v>68</v>
      </c>
      <c r="AJ1217" t="s">
        <v>69</v>
      </c>
      <c r="AK1217" t="s">
        <v>70</v>
      </c>
    </row>
    <row r="1218" spans="1:37" x14ac:dyDescent="0.2">
      <c r="A1218">
        <v>43</v>
      </c>
      <c r="B1218" t="s">
        <v>43</v>
      </c>
      <c r="C1218" t="s">
        <v>67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v>0</v>
      </c>
      <c r="AH1218">
        <v>1</v>
      </c>
      <c r="AI1218" t="s">
        <v>68</v>
      </c>
      <c r="AJ1218" t="s">
        <v>79</v>
      </c>
      <c r="AK1218" t="s">
        <v>73</v>
      </c>
    </row>
    <row r="1219" spans="1:37" x14ac:dyDescent="0.2">
      <c r="A1219">
        <v>24</v>
      </c>
      <c r="B1219" t="s">
        <v>43</v>
      </c>
      <c r="C1219" t="s">
        <v>67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v>0</v>
      </c>
      <c r="AH1219">
        <v>0</v>
      </c>
      <c r="AI1219" t="s">
        <v>80</v>
      </c>
      <c r="AJ1219" t="s">
        <v>69</v>
      </c>
      <c r="AK1219" t="s">
        <v>70</v>
      </c>
    </row>
    <row r="1220" spans="1:37" x14ac:dyDescent="0.2">
      <c r="A1220">
        <v>41</v>
      </c>
      <c r="B1220" t="s">
        <v>43</v>
      </c>
      <c r="C1220" t="s">
        <v>67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v>0</v>
      </c>
      <c r="AH1220">
        <v>0</v>
      </c>
      <c r="AI1220" t="s">
        <v>68</v>
      </c>
      <c r="AJ1220" t="s">
        <v>79</v>
      </c>
      <c r="AK1220" t="s">
        <v>73</v>
      </c>
    </row>
    <row r="1221" spans="1:37" x14ac:dyDescent="0.2">
      <c r="A1221">
        <v>29</v>
      </c>
      <c r="B1221" t="s">
        <v>43</v>
      </c>
      <c r="C1221" t="s">
        <v>67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v>0</v>
      </c>
      <c r="AH1221">
        <v>0</v>
      </c>
      <c r="AI1221" t="s">
        <v>76</v>
      </c>
      <c r="AJ1221" t="s">
        <v>74</v>
      </c>
      <c r="AK1221" t="s">
        <v>70</v>
      </c>
    </row>
    <row r="1222" spans="1:37" x14ac:dyDescent="0.2">
      <c r="A1222">
        <v>36</v>
      </c>
      <c r="B1222" t="s">
        <v>43</v>
      </c>
      <c r="C1222" t="s">
        <v>67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v>0</v>
      </c>
      <c r="AH1222">
        <v>0</v>
      </c>
      <c r="AI1222" t="s">
        <v>68</v>
      </c>
      <c r="AJ1222" t="s">
        <v>69</v>
      </c>
      <c r="AK1222" t="s">
        <v>73</v>
      </c>
    </row>
    <row r="1223" spans="1:37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v>0</v>
      </c>
      <c r="AH1223">
        <v>0</v>
      </c>
      <c r="AI1223" t="s">
        <v>72</v>
      </c>
      <c r="AJ1223" t="s">
        <v>81</v>
      </c>
      <c r="AK1223" t="s">
        <v>73</v>
      </c>
    </row>
    <row r="1224" spans="1:37" x14ac:dyDescent="0.2">
      <c r="A1224">
        <v>24</v>
      </c>
      <c r="B1224" t="s">
        <v>35</v>
      </c>
      <c r="C1224" t="s">
        <v>67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 t="s">
        <v>80</v>
      </c>
      <c r="AJ1224" t="s">
        <v>74</v>
      </c>
      <c r="AK1224" t="s">
        <v>75</v>
      </c>
    </row>
    <row r="1225" spans="1:37" x14ac:dyDescent="0.2">
      <c r="A1225">
        <v>47</v>
      </c>
      <c r="B1225" t="s">
        <v>35</v>
      </c>
      <c r="C1225" t="s">
        <v>71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v>1</v>
      </c>
      <c r="AH1225">
        <v>0</v>
      </c>
      <c r="AI1225" t="s">
        <v>72</v>
      </c>
      <c r="AJ1225" t="s">
        <v>81</v>
      </c>
      <c r="AK1225" t="s">
        <v>73</v>
      </c>
    </row>
    <row r="1226" spans="1:37" x14ac:dyDescent="0.2">
      <c r="A1226">
        <v>26</v>
      </c>
      <c r="B1226" t="s">
        <v>43</v>
      </c>
      <c r="C1226" t="s">
        <v>67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v>0</v>
      </c>
      <c r="AH1226">
        <v>0</v>
      </c>
      <c r="AI1226" t="s">
        <v>76</v>
      </c>
      <c r="AJ1226" t="s">
        <v>74</v>
      </c>
      <c r="AK1226" t="s">
        <v>77</v>
      </c>
    </row>
    <row r="1227" spans="1:37" x14ac:dyDescent="0.2">
      <c r="A1227">
        <v>45</v>
      </c>
      <c r="B1227" t="s">
        <v>43</v>
      </c>
      <c r="C1227" t="s">
        <v>67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v>0</v>
      </c>
      <c r="AH1227">
        <v>0</v>
      </c>
      <c r="AI1227" t="s">
        <v>72</v>
      </c>
      <c r="AJ1227" t="s">
        <v>81</v>
      </c>
      <c r="AK1227" t="s">
        <v>73</v>
      </c>
    </row>
    <row r="1228" spans="1:37" x14ac:dyDescent="0.2">
      <c r="A1228">
        <v>32</v>
      </c>
      <c r="B1228" t="s">
        <v>43</v>
      </c>
      <c r="C1228" t="s">
        <v>71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v>0</v>
      </c>
      <c r="AH1228">
        <v>0</v>
      </c>
      <c r="AI1228" t="s">
        <v>76</v>
      </c>
      <c r="AJ1228" t="s">
        <v>69</v>
      </c>
      <c r="AK1228" t="s">
        <v>70</v>
      </c>
    </row>
    <row r="1229" spans="1:37" x14ac:dyDescent="0.2">
      <c r="A1229">
        <v>31</v>
      </c>
      <c r="B1229" t="s">
        <v>43</v>
      </c>
      <c r="C1229" t="s">
        <v>67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v>0</v>
      </c>
      <c r="AH1229">
        <v>0</v>
      </c>
      <c r="AI1229" t="s">
        <v>76</v>
      </c>
      <c r="AJ1229" t="s">
        <v>69</v>
      </c>
      <c r="AK1229" t="s">
        <v>70</v>
      </c>
    </row>
    <row r="1230" spans="1:37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v>0</v>
      </c>
      <c r="AH1230">
        <v>0</v>
      </c>
      <c r="AI1230" t="s">
        <v>68</v>
      </c>
      <c r="AJ1230" t="s">
        <v>79</v>
      </c>
      <c r="AK1230" t="s">
        <v>77</v>
      </c>
    </row>
    <row r="1231" spans="1:37" x14ac:dyDescent="0.2">
      <c r="A1231">
        <v>40</v>
      </c>
      <c r="B1231" t="s">
        <v>43</v>
      </c>
      <c r="C1231" t="s">
        <v>67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 t="s">
        <v>68</v>
      </c>
      <c r="AJ1231" t="s">
        <v>79</v>
      </c>
      <c r="AK1231" t="s">
        <v>75</v>
      </c>
    </row>
    <row r="1232" spans="1:37" x14ac:dyDescent="0.2">
      <c r="A1232">
        <v>24</v>
      </c>
      <c r="B1232" t="s">
        <v>43</v>
      </c>
      <c r="C1232" t="s">
        <v>67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v>0</v>
      </c>
      <c r="AH1232">
        <v>0</v>
      </c>
      <c r="AI1232" t="s">
        <v>80</v>
      </c>
      <c r="AJ1232" t="s">
        <v>69</v>
      </c>
      <c r="AK1232" t="s">
        <v>70</v>
      </c>
    </row>
    <row r="1233" spans="1:37" x14ac:dyDescent="0.2">
      <c r="A1233">
        <v>46</v>
      </c>
      <c r="B1233" t="s">
        <v>43</v>
      </c>
      <c r="C1233" t="s">
        <v>67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v>0</v>
      </c>
      <c r="AH1233">
        <v>0</v>
      </c>
      <c r="AI1233" t="s">
        <v>72</v>
      </c>
      <c r="AJ1233" t="s">
        <v>69</v>
      </c>
      <c r="AK1233" t="s">
        <v>73</v>
      </c>
    </row>
    <row r="1234" spans="1:37" x14ac:dyDescent="0.2">
      <c r="A1234">
        <v>35</v>
      </c>
      <c r="B1234" t="s">
        <v>43</v>
      </c>
      <c r="C1234" t="s">
        <v>67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v>0</v>
      </c>
      <c r="AH1234">
        <v>0</v>
      </c>
      <c r="AI1234" t="s">
        <v>68</v>
      </c>
      <c r="AJ1234" t="s">
        <v>79</v>
      </c>
      <c r="AK1234" t="s">
        <v>70</v>
      </c>
    </row>
    <row r="1235" spans="1:37" x14ac:dyDescent="0.2">
      <c r="A1235">
        <v>30</v>
      </c>
      <c r="B1235" t="s">
        <v>43</v>
      </c>
      <c r="C1235" t="s">
        <v>67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v>0</v>
      </c>
      <c r="AH1235">
        <v>0</v>
      </c>
      <c r="AI1235" t="s">
        <v>76</v>
      </c>
      <c r="AJ1235" t="s">
        <v>74</v>
      </c>
      <c r="AK1235" t="s">
        <v>73</v>
      </c>
    </row>
    <row r="1236" spans="1:37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72</v>
      </c>
      <c r="AJ1236" t="s">
        <v>69</v>
      </c>
      <c r="AK1236" t="s">
        <v>75</v>
      </c>
    </row>
    <row r="1237" spans="1:37" x14ac:dyDescent="0.2">
      <c r="A1237">
        <v>46</v>
      </c>
      <c r="B1237" t="s">
        <v>43</v>
      </c>
      <c r="C1237" t="s">
        <v>67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v>0</v>
      </c>
      <c r="AH1237">
        <v>1</v>
      </c>
      <c r="AI1237" t="s">
        <v>72</v>
      </c>
      <c r="AJ1237" t="s">
        <v>81</v>
      </c>
      <c r="AK1237" t="s">
        <v>73</v>
      </c>
    </row>
    <row r="1238" spans="1:37" x14ac:dyDescent="0.2">
      <c r="A1238">
        <v>36</v>
      </c>
      <c r="B1238" t="s">
        <v>35</v>
      </c>
      <c r="C1238" t="s">
        <v>67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v>1</v>
      </c>
      <c r="AH1238">
        <v>1</v>
      </c>
      <c r="AI1238" t="s">
        <v>68</v>
      </c>
      <c r="AJ1238" t="s">
        <v>79</v>
      </c>
      <c r="AK1238" t="s">
        <v>77</v>
      </c>
    </row>
    <row r="1239" spans="1:37" x14ac:dyDescent="0.2">
      <c r="A1239">
        <v>32</v>
      </c>
      <c r="B1239" t="s">
        <v>35</v>
      </c>
      <c r="C1239" t="s">
        <v>67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 t="s">
        <v>76</v>
      </c>
      <c r="AJ1239" t="s">
        <v>79</v>
      </c>
      <c r="AK1239" t="s">
        <v>75</v>
      </c>
    </row>
    <row r="1240" spans="1:37" x14ac:dyDescent="0.2">
      <c r="A1240">
        <v>23</v>
      </c>
      <c r="B1240" t="s">
        <v>43</v>
      </c>
      <c r="C1240" t="s">
        <v>67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v>0</v>
      </c>
      <c r="AH1240">
        <v>0</v>
      </c>
      <c r="AI1240" t="s">
        <v>80</v>
      </c>
      <c r="AJ1240" t="s">
        <v>69</v>
      </c>
      <c r="AK1240" t="s">
        <v>77</v>
      </c>
    </row>
    <row r="1241" spans="1:37" x14ac:dyDescent="0.2">
      <c r="A1241">
        <v>31</v>
      </c>
      <c r="B1241" t="s">
        <v>43</v>
      </c>
      <c r="C1241" t="s">
        <v>71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v>0</v>
      </c>
      <c r="AH1241">
        <v>0</v>
      </c>
      <c r="AI1241" t="s">
        <v>76</v>
      </c>
      <c r="AJ1241" t="s">
        <v>69</v>
      </c>
      <c r="AK1241" t="s">
        <v>70</v>
      </c>
    </row>
    <row r="1242" spans="1:37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v>0</v>
      </c>
      <c r="AH1242">
        <v>1</v>
      </c>
      <c r="AI1242" t="s">
        <v>68</v>
      </c>
      <c r="AJ1242" t="s">
        <v>79</v>
      </c>
      <c r="AK1242" t="s">
        <v>70</v>
      </c>
    </row>
    <row r="1243" spans="1:37" x14ac:dyDescent="0.2">
      <c r="A1243">
        <v>32</v>
      </c>
      <c r="B1243" t="s">
        <v>43</v>
      </c>
      <c r="C1243" t="s">
        <v>67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v>0</v>
      </c>
      <c r="AH1243">
        <v>0</v>
      </c>
      <c r="AI1243" t="s">
        <v>76</v>
      </c>
      <c r="AJ1243" t="s">
        <v>79</v>
      </c>
      <c r="AK1243" t="s">
        <v>77</v>
      </c>
    </row>
    <row r="1244" spans="1:37" x14ac:dyDescent="0.2">
      <c r="A1244">
        <v>40</v>
      </c>
      <c r="B1244" t="s">
        <v>43</v>
      </c>
      <c r="C1244" t="s">
        <v>67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v>0</v>
      </c>
      <c r="AH1244">
        <v>0</v>
      </c>
      <c r="AI1244" t="s">
        <v>68</v>
      </c>
      <c r="AJ1244" t="s">
        <v>81</v>
      </c>
      <c r="AK1244" t="s">
        <v>73</v>
      </c>
    </row>
    <row r="1245" spans="1:37" x14ac:dyDescent="0.2">
      <c r="A1245">
        <v>45</v>
      </c>
      <c r="B1245" t="s">
        <v>43</v>
      </c>
      <c r="C1245" t="s">
        <v>67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v>0</v>
      </c>
      <c r="AH1245">
        <v>0</v>
      </c>
      <c r="AI1245" t="s">
        <v>72</v>
      </c>
      <c r="AJ1245" t="s">
        <v>79</v>
      </c>
      <c r="AK1245" t="s">
        <v>70</v>
      </c>
    </row>
    <row r="1246" spans="1:37" x14ac:dyDescent="0.2">
      <c r="A1246">
        <v>30</v>
      </c>
      <c r="B1246" t="s">
        <v>43</v>
      </c>
      <c r="C1246" t="s">
        <v>71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v>0</v>
      </c>
      <c r="AH1246">
        <v>0</v>
      </c>
      <c r="AI1246" t="s">
        <v>76</v>
      </c>
      <c r="AJ1246" t="s">
        <v>69</v>
      </c>
      <c r="AK1246" t="s">
        <v>70</v>
      </c>
    </row>
    <row r="1247" spans="1:37" x14ac:dyDescent="0.2">
      <c r="A1247">
        <v>24</v>
      </c>
      <c r="B1247" t="s">
        <v>43</v>
      </c>
      <c r="C1247" t="s">
        <v>71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v>0</v>
      </c>
      <c r="AH1247">
        <v>0</v>
      </c>
      <c r="AI1247" t="s">
        <v>80</v>
      </c>
      <c r="AJ1247" t="s">
        <v>74</v>
      </c>
      <c r="AK1247" t="s">
        <v>77</v>
      </c>
    </row>
    <row r="1248" spans="1:37" x14ac:dyDescent="0.2">
      <c r="A1248">
        <v>30</v>
      </c>
      <c r="B1248" t="s">
        <v>35</v>
      </c>
      <c r="C1248" t="s">
        <v>71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v>1</v>
      </c>
      <c r="AH1248">
        <v>0</v>
      </c>
      <c r="AI1248" t="s">
        <v>76</v>
      </c>
      <c r="AJ1248" t="s">
        <v>74</v>
      </c>
      <c r="AK1248" t="s">
        <v>77</v>
      </c>
    </row>
    <row r="1249" spans="1:37" x14ac:dyDescent="0.2">
      <c r="A1249">
        <v>31</v>
      </c>
      <c r="B1249" t="s">
        <v>43</v>
      </c>
      <c r="C1249" t="s">
        <v>67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v>0</v>
      </c>
      <c r="AH1249">
        <v>0</v>
      </c>
      <c r="AI1249" t="s">
        <v>76</v>
      </c>
      <c r="AJ1249" t="s">
        <v>79</v>
      </c>
      <c r="AK1249" t="s">
        <v>70</v>
      </c>
    </row>
    <row r="1250" spans="1:37" x14ac:dyDescent="0.2">
      <c r="A1250">
        <v>27</v>
      </c>
      <c r="B1250" t="s">
        <v>43</v>
      </c>
      <c r="C1250" t="s">
        <v>67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v>0</v>
      </c>
      <c r="AH1250">
        <v>0</v>
      </c>
      <c r="AI1250" t="s">
        <v>76</v>
      </c>
      <c r="AJ1250" t="s">
        <v>69</v>
      </c>
      <c r="AK1250" t="s">
        <v>70</v>
      </c>
    </row>
    <row r="1251" spans="1:37" x14ac:dyDescent="0.2">
      <c r="A1251">
        <v>29</v>
      </c>
      <c r="B1251" t="s">
        <v>35</v>
      </c>
      <c r="C1251" t="s">
        <v>67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v>1</v>
      </c>
      <c r="AH1251">
        <v>0</v>
      </c>
      <c r="AI1251" t="s">
        <v>76</v>
      </c>
      <c r="AJ1251" t="s">
        <v>74</v>
      </c>
      <c r="AK1251" t="s">
        <v>77</v>
      </c>
    </row>
    <row r="1252" spans="1:37" x14ac:dyDescent="0.2">
      <c r="A1252">
        <v>29</v>
      </c>
      <c r="B1252" t="s">
        <v>43</v>
      </c>
      <c r="C1252" t="s">
        <v>71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v>0</v>
      </c>
      <c r="AH1252">
        <v>1</v>
      </c>
      <c r="AI1252" t="s">
        <v>76</v>
      </c>
      <c r="AJ1252" t="s">
        <v>79</v>
      </c>
      <c r="AK1252" t="s">
        <v>77</v>
      </c>
    </row>
    <row r="1253" spans="1:37" x14ac:dyDescent="0.2">
      <c r="A1253">
        <v>30</v>
      </c>
      <c r="B1253" t="s">
        <v>43</v>
      </c>
      <c r="C1253" t="s">
        <v>67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v>0</v>
      </c>
      <c r="AH1253">
        <v>0</v>
      </c>
      <c r="AI1253" t="s">
        <v>76</v>
      </c>
      <c r="AJ1253" t="s">
        <v>79</v>
      </c>
      <c r="AK1253" t="s">
        <v>70</v>
      </c>
    </row>
    <row r="1254" spans="1:37" x14ac:dyDescent="0.2">
      <c r="A1254">
        <v>34</v>
      </c>
      <c r="B1254" t="s">
        <v>43</v>
      </c>
      <c r="C1254" t="s">
        <v>67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v>0</v>
      </c>
      <c r="AH1254">
        <v>1</v>
      </c>
      <c r="AI1254" t="s">
        <v>76</v>
      </c>
      <c r="AJ1254" t="s">
        <v>74</v>
      </c>
      <c r="AK1254" t="s">
        <v>70</v>
      </c>
    </row>
    <row r="1255" spans="1:37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v>0</v>
      </c>
      <c r="AH1255">
        <v>0</v>
      </c>
      <c r="AI1255" t="s">
        <v>76</v>
      </c>
      <c r="AJ1255" t="s">
        <v>69</v>
      </c>
      <c r="AK1255" t="s">
        <v>73</v>
      </c>
    </row>
    <row r="1256" spans="1:37" x14ac:dyDescent="0.2">
      <c r="A1256">
        <v>49</v>
      </c>
      <c r="B1256" t="s">
        <v>43</v>
      </c>
      <c r="C1256" t="s">
        <v>67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v>0</v>
      </c>
      <c r="AH1256">
        <v>0</v>
      </c>
      <c r="AI1256" t="s">
        <v>72</v>
      </c>
      <c r="AJ1256" t="s">
        <v>69</v>
      </c>
      <c r="AK1256" t="s">
        <v>70</v>
      </c>
    </row>
    <row r="1257" spans="1:37" x14ac:dyDescent="0.2">
      <c r="A1257">
        <v>33</v>
      </c>
      <c r="B1257" t="s">
        <v>35</v>
      </c>
      <c r="C1257" t="s">
        <v>67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1</v>
      </c>
      <c r="AI1257" t="s">
        <v>76</v>
      </c>
      <c r="AJ1257" t="s">
        <v>79</v>
      </c>
      <c r="AK1257" t="s">
        <v>75</v>
      </c>
    </row>
    <row r="1258" spans="1:37" x14ac:dyDescent="0.2">
      <c r="A1258">
        <v>38</v>
      </c>
      <c r="B1258" t="s">
        <v>43</v>
      </c>
      <c r="C1258" t="s">
        <v>71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v>0</v>
      </c>
      <c r="AH1258">
        <v>0</v>
      </c>
      <c r="AI1258" t="s">
        <v>68</v>
      </c>
      <c r="AJ1258" t="s">
        <v>74</v>
      </c>
      <c r="AK1258" t="s">
        <v>70</v>
      </c>
    </row>
    <row r="1259" spans="1:37" x14ac:dyDescent="0.2">
      <c r="A1259">
        <v>31</v>
      </c>
      <c r="B1259" t="s">
        <v>35</v>
      </c>
      <c r="C1259" t="s">
        <v>67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 t="s">
        <v>76</v>
      </c>
      <c r="AJ1259" t="s">
        <v>79</v>
      </c>
      <c r="AK1259" t="s">
        <v>75</v>
      </c>
    </row>
    <row r="1260" spans="1:37" x14ac:dyDescent="0.2">
      <c r="A1260">
        <v>29</v>
      </c>
      <c r="B1260" t="s">
        <v>43</v>
      </c>
      <c r="C1260" t="s">
        <v>67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76</v>
      </c>
      <c r="AJ1260" t="s">
        <v>74</v>
      </c>
      <c r="AK1260" t="s">
        <v>75</v>
      </c>
    </row>
    <row r="1261" spans="1:37" x14ac:dyDescent="0.2">
      <c r="A1261">
        <v>30</v>
      </c>
      <c r="B1261" t="s">
        <v>43</v>
      </c>
      <c r="C1261" t="s">
        <v>67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v>0</v>
      </c>
      <c r="AH1261">
        <v>0</v>
      </c>
      <c r="AI1261" t="s">
        <v>76</v>
      </c>
      <c r="AJ1261" t="s">
        <v>69</v>
      </c>
      <c r="AK1261" t="s">
        <v>70</v>
      </c>
    </row>
    <row r="1262" spans="1:37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v>0</v>
      </c>
      <c r="AH1262">
        <v>0</v>
      </c>
      <c r="AI1262" t="s">
        <v>76</v>
      </c>
      <c r="AJ1262" t="s">
        <v>74</v>
      </c>
      <c r="AK1262" t="s">
        <v>70</v>
      </c>
    </row>
    <row r="1263" spans="1:37" x14ac:dyDescent="0.2">
      <c r="A1263">
        <v>38</v>
      </c>
      <c r="B1263" t="s">
        <v>43</v>
      </c>
      <c r="C1263" t="s">
        <v>67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>
        <v>1</v>
      </c>
      <c r="AI1263" t="s">
        <v>68</v>
      </c>
      <c r="AJ1263" t="s">
        <v>69</v>
      </c>
      <c r="AK1263" t="s">
        <v>75</v>
      </c>
    </row>
    <row r="1264" spans="1:37" x14ac:dyDescent="0.2">
      <c r="A1264">
        <v>43</v>
      </c>
      <c r="B1264" t="s">
        <v>35</v>
      </c>
      <c r="C1264" t="s">
        <v>71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>
        <v>1</v>
      </c>
      <c r="AI1264" t="s">
        <v>68</v>
      </c>
      <c r="AJ1264" t="s">
        <v>74</v>
      </c>
      <c r="AK1264" t="s">
        <v>75</v>
      </c>
    </row>
    <row r="1265" spans="1:37" x14ac:dyDescent="0.2">
      <c r="A1265">
        <v>42</v>
      </c>
      <c r="B1265" t="s">
        <v>43</v>
      </c>
      <c r="C1265" t="s">
        <v>67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v>0</v>
      </c>
      <c r="AH1265">
        <v>0</v>
      </c>
      <c r="AI1265" t="s">
        <v>68</v>
      </c>
      <c r="AJ1265" t="s">
        <v>74</v>
      </c>
      <c r="AK1265" t="s">
        <v>70</v>
      </c>
    </row>
    <row r="1266" spans="1:37" x14ac:dyDescent="0.2">
      <c r="A1266">
        <v>55</v>
      </c>
      <c r="B1266" t="s">
        <v>43</v>
      </c>
      <c r="C1266" t="s">
        <v>67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78</v>
      </c>
      <c r="AJ1266" t="s">
        <v>81</v>
      </c>
      <c r="AK1266" t="s">
        <v>75</v>
      </c>
    </row>
    <row r="1267" spans="1:37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v>0</v>
      </c>
      <c r="AH1267">
        <v>0</v>
      </c>
      <c r="AI1267" t="s">
        <v>76</v>
      </c>
      <c r="AJ1267" t="s">
        <v>69</v>
      </c>
      <c r="AK1267" t="s">
        <v>70</v>
      </c>
    </row>
    <row r="1268" spans="1:37" x14ac:dyDescent="0.2">
      <c r="A1268">
        <v>41</v>
      </c>
      <c r="B1268" t="s">
        <v>43</v>
      </c>
      <c r="C1268" t="s">
        <v>67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v>0</v>
      </c>
      <c r="AH1268">
        <v>0</v>
      </c>
      <c r="AI1268" t="s">
        <v>68</v>
      </c>
      <c r="AJ1268" t="s">
        <v>74</v>
      </c>
      <c r="AK1268" t="s">
        <v>70</v>
      </c>
    </row>
    <row r="1269" spans="1:37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v>0</v>
      </c>
      <c r="AH1269">
        <v>1</v>
      </c>
      <c r="AI1269" t="s">
        <v>76</v>
      </c>
      <c r="AJ1269" t="s">
        <v>69</v>
      </c>
      <c r="AK1269" t="s">
        <v>73</v>
      </c>
    </row>
    <row r="1270" spans="1:37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v>0</v>
      </c>
      <c r="AH1270">
        <v>1</v>
      </c>
      <c r="AI1270" t="s">
        <v>72</v>
      </c>
      <c r="AJ1270" t="s">
        <v>81</v>
      </c>
      <c r="AK1270" t="s">
        <v>77</v>
      </c>
    </row>
    <row r="1271" spans="1:37" x14ac:dyDescent="0.2">
      <c r="A1271">
        <v>43</v>
      </c>
      <c r="B1271" t="s">
        <v>43</v>
      </c>
      <c r="C1271" t="s">
        <v>67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v>0</v>
      </c>
      <c r="AH1271">
        <v>0</v>
      </c>
      <c r="AI1271" t="s">
        <v>68</v>
      </c>
      <c r="AJ1271" t="s">
        <v>69</v>
      </c>
      <c r="AK1271" t="s">
        <v>70</v>
      </c>
    </row>
    <row r="1272" spans="1:37" x14ac:dyDescent="0.2">
      <c r="A1272">
        <v>34</v>
      </c>
      <c r="B1272" t="s">
        <v>43</v>
      </c>
      <c r="C1272" t="s">
        <v>67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v>0</v>
      </c>
      <c r="AH1272">
        <v>0</v>
      </c>
      <c r="AI1272" t="s">
        <v>76</v>
      </c>
      <c r="AJ1272" t="s">
        <v>79</v>
      </c>
      <c r="AK1272" t="s">
        <v>77</v>
      </c>
    </row>
    <row r="1273" spans="1:37" x14ac:dyDescent="0.2">
      <c r="A1273">
        <v>21</v>
      </c>
      <c r="B1273" t="s">
        <v>35</v>
      </c>
      <c r="C1273" t="s">
        <v>67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v>1</v>
      </c>
      <c r="AH1273">
        <v>0</v>
      </c>
      <c r="AI1273" t="s">
        <v>80</v>
      </c>
      <c r="AJ1273" t="s">
        <v>74</v>
      </c>
      <c r="AK1273" t="s">
        <v>75</v>
      </c>
    </row>
    <row r="1274" spans="1:37" x14ac:dyDescent="0.2">
      <c r="A1274">
        <v>38</v>
      </c>
      <c r="B1274" t="s">
        <v>43</v>
      </c>
      <c r="C1274" t="s">
        <v>67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v>0</v>
      </c>
      <c r="AH1274">
        <v>0</v>
      </c>
      <c r="AI1274" t="s">
        <v>68</v>
      </c>
      <c r="AJ1274" t="s">
        <v>69</v>
      </c>
      <c r="AK1274" t="s">
        <v>70</v>
      </c>
    </row>
    <row r="1275" spans="1:37" x14ac:dyDescent="0.2">
      <c r="A1275">
        <v>22</v>
      </c>
      <c r="B1275" t="s">
        <v>35</v>
      </c>
      <c r="C1275" t="s">
        <v>67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v>1</v>
      </c>
      <c r="AH1275">
        <v>1</v>
      </c>
      <c r="AI1275" t="s">
        <v>80</v>
      </c>
      <c r="AJ1275" t="s">
        <v>74</v>
      </c>
      <c r="AK1275" t="s">
        <v>75</v>
      </c>
    </row>
    <row r="1276" spans="1:37" x14ac:dyDescent="0.2">
      <c r="A1276">
        <v>31</v>
      </c>
      <c r="B1276" t="s">
        <v>43</v>
      </c>
      <c r="C1276" t="s">
        <v>67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v>0</v>
      </c>
      <c r="AH1276">
        <v>0</v>
      </c>
      <c r="AI1276" t="s">
        <v>76</v>
      </c>
      <c r="AJ1276" t="s">
        <v>69</v>
      </c>
      <c r="AK1276" t="s">
        <v>73</v>
      </c>
    </row>
    <row r="1277" spans="1:37" x14ac:dyDescent="0.2">
      <c r="A1277">
        <v>51</v>
      </c>
      <c r="B1277" t="s">
        <v>43</v>
      </c>
      <c r="C1277" t="s">
        <v>67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v>0</v>
      </c>
      <c r="AH1277">
        <v>0</v>
      </c>
      <c r="AI1277" t="s">
        <v>72</v>
      </c>
      <c r="AJ1277" t="s">
        <v>81</v>
      </c>
      <c r="AK1277" t="s">
        <v>77</v>
      </c>
    </row>
    <row r="1278" spans="1:37" x14ac:dyDescent="0.2">
      <c r="A1278">
        <v>37</v>
      </c>
      <c r="B1278" t="s">
        <v>43</v>
      </c>
      <c r="C1278" t="s">
        <v>67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v>0</v>
      </c>
      <c r="AH1278">
        <v>0</v>
      </c>
      <c r="AI1278" t="s">
        <v>68</v>
      </c>
      <c r="AJ1278" t="s">
        <v>69</v>
      </c>
      <c r="AK1278" t="s">
        <v>70</v>
      </c>
    </row>
    <row r="1279" spans="1:37" x14ac:dyDescent="0.2">
      <c r="A1279">
        <v>46</v>
      </c>
      <c r="B1279" t="s">
        <v>43</v>
      </c>
      <c r="C1279" t="s">
        <v>67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v>0</v>
      </c>
      <c r="AH1279">
        <v>1</v>
      </c>
      <c r="AI1279" t="s">
        <v>72</v>
      </c>
      <c r="AJ1279" t="s">
        <v>81</v>
      </c>
      <c r="AK1279" t="s">
        <v>77</v>
      </c>
    </row>
    <row r="1280" spans="1:37" x14ac:dyDescent="0.2">
      <c r="A1280">
        <v>36</v>
      </c>
      <c r="B1280" t="s">
        <v>43</v>
      </c>
      <c r="C1280" t="s">
        <v>67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v>0</v>
      </c>
      <c r="AH1280">
        <v>1</v>
      </c>
      <c r="AI1280" t="s">
        <v>68</v>
      </c>
      <c r="AJ1280" t="s">
        <v>79</v>
      </c>
      <c r="AK1280" t="s">
        <v>73</v>
      </c>
    </row>
    <row r="1281" spans="1:37" x14ac:dyDescent="0.2">
      <c r="A1281">
        <v>44</v>
      </c>
      <c r="B1281" t="s">
        <v>35</v>
      </c>
      <c r="C1281" t="s">
        <v>71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v>1</v>
      </c>
      <c r="AH1281">
        <v>1</v>
      </c>
      <c r="AI1281" t="s">
        <v>68</v>
      </c>
      <c r="AJ1281" t="s">
        <v>74</v>
      </c>
      <c r="AK1281" t="s">
        <v>70</v>
      </c>
    </row>
    <row r="1282" spans="1:37" x14ac:dyDescent="0.2">
      <c r="A1282">
        <v>37</v>
      </c>
      <c r="B1282" t="s">
        <v>43</v>
      </c>
      <c r="C1282" t="s">
        <v>67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v>0</v>
      </c>
      <c r="AH1282">
        <v>0</v>
      </c>
      <c r="AI1282" t="s">
        <v>68</v>
      </c>
      <c r="AJ1282" t="s">
        <v>69</v>
      </c>
      <c r="AK1282" t="s">
        <v>73</v>
      </c>
    </row>
    <row r="1283" spans="1:37" x14ac:dyDescent="0.2">
      <c r="A1283">
        <v>35</v>
      </c>
      <c r="B1283" t="s">
        <v>35</v>
      </c>
      <c r="C1283" t="s">
        <v>67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v>1</v>
      </c>
      <c r="AH1283">
        <v>1</v>
      </c>
      <c r="AI1283" t="s">
        <v>68</v>
      </c>
      <c r="AJ1283" t="s">
        <v>69</v>
      </c>
      <c r="AK1283" t="s">
        <v>73</v>
      </c>
    </row>
    <row r="1284" spans="1:37" x14ac:dyDescent="0.2">
      <c r="A1284">
        <v>33</v>
      </c>
      <c r="B1284" t="s">
        <v>43</v>
      </c>
      <c r="C1284" t="s">
        <v>67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v>0</v>
      </c>
      <c r="AH1284">
        <v>0</v>
      </c>
      <c r="AI1284" t="s">
        <v>76</v>
      </c>
      <c r="AJ1284" t="s">
        <v>69</v>
      </c>
      <c r="AK1284" t="s">
        <v>73</v>
      </c>
    </row>
    <row r="1285" spans="1:37" x14ac:dyDescent="0.2">
      <c r="A1285">
        <v>28</v>
      </c>
      <c r="B1285" t="s">
        <v>43</v>
      </c>
      <c r="C1285" t="s">
        <v>67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v>0</v>
      </c>
      <c r="AH1285">
        <v>0</v>
      </c>
      <c r="AI1285" t="s">
        <v>76</v>
      </c>
      <c r="AJ1285" t="s">
        <v>74</v>
      </c>
      <c r="AK1285" t="s">
        <v>70</v>
      </c>
    </row>
    <row r="1286" spans="1:37" x14ac:dyDescent="0.2">
      <c r="A1286">
        <v>39</v>
      </c>
      <c r="B1286" t="s">
        <v>43</v>
      </c>
      <c r="C1286" t="s">
        <v>67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v>0</v>
      </c>
      <c r="AH1286">
        <v>0</v>
      </c>
      <c r="AI1286" t="s">
        <v>68</v>
      </c>
      <c r="AJ1286" t="s">
        <v>81</v>
      </c>
      <c r="AK1286" t="s">
        <v>77</v>
      </c>
    </row>
    <row r="1287" spans="1:37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v>0</v>
      </c>
      <c r="AH1287">
        <v>0</v>
      </c>
      <c r="AI1287" t="s">
        <v>72</v>
      </c>
      <c r="AJ1287" t="s">
        <v>79</v>
      </c>
      <c r="AK1287" t="s">
        <v>77</v>
      </c>
    </row>
    <row r="1288" spans="1:37" x14ac:dyDescent="0.2">
      <c r="A1288">
        <v>40</v>
      </c>
      <c r="B1288" t="s">
        <v>43</v>
      </c>
      <c r="C1288" t="s">
        <v>67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v>0</v>
      </c>
      <c r="AH1288">
        <v>0</v>
      </c>
      <c r="AI1288" t="s">
        <v>68</v>
      </c>
      <c r="AJ1288" t="s">
        <v>69</v>
      </c>
      <c r="AK1288" t="s">
        <v>77</v>
      </c>
    </row>
    <row r="1289" spans="1:37" x14ac:dyDescent="0.2">
      <c r="A1289">
        <v>42</v>
      </c>
      <c r="B1289" t="s">
        <v>43</v>
      </c>
      <c r="C1289" t="s">
        <v>67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68</v>
      </c>
      <c r="AJ1289" t="s">
        <v>69</v>
      </c>
      <c r="AK1289" t="s">
        <v>75</v>
      </c>
    </row>
    <row r="1290" spans="1:37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v>0</v>
      </c>
      <c r="AH1290">
        <v>0</v>
      </c>
      <c r="AI1290" t="s">
        <v>68</v>
      </c>
      <c r="AJ1290" t="s">
        <v>69</v>
      </c>
      <c r="AK1290" t="s">
        <v>70</v>
      </c>
    </row>
    <row r="1291" spans="1:37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v>0</v>
      </c>
      <c r="AH1291">
        <v>0</v>
      </c>
      <c r="AI1291" t="s">
        <v>68</v>
      </c>
      <c r="AJ1291" t="s">
        <v>74</v>
      </c>
      <c r="AK1291" t="s">
        <v>73</v>
      </c>
    </row>
    <row r="1292" spans="1:37" x14ac:dyDescent="0.2">
      <c r="A1292">
        <v>34</v>
      </c>
      <c r="B1292" t="s">
        <v>35</v>
      </c>
      <c r="C1292" t="s">
        <v>71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v>1</v>
      </c>
      <c r="AH1292">
        <v>0</v>
      </c>
      <c r="AI1292" t="s">
        <v>76</v>
      </c>
      <c r="AJ1292" t="s">
        <v>69</v>
      </c>
      <c r="AK1292" t="s">
        <v>70</v>
      </c>
    </row>
    <row r="1293" spans="1:37" x14ac:dyDescent="0.2">
      <c r="A1293">
        <v>37</v>
      </c>
      <c r="B1293" t="s">
        <v>35</v>
      </c>
      <c r="C1293" t="s">
        <v>67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v>1</v>
      </c>
      <c r="AH1293">
        <v>0</v>
      </c>
      <c r="AI1293" t="s">
        <v>68</v>
      </c>
      <c r="AJ1293" t="s">
        <v>69</v>
      </c>
      <c r="AK1293" t="s">
        <v>73</v>
      </c>
    </row>
    <row r="1294" spans="1:37" x14ac:dyDescent="0.2">
      <c r="A1294">
        <v>39</v>
      </c>
      <c r="B1294" t="s">
        <v>43</v>
      </c>
      <c r="C1294" t="s">
        <v>71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v>0</v>
      </c>
      <c r="AH1294">
        <v>0</v>
      </c>
      <c r="AI1294" t="s">
        <v>68</v>
      </c>
      <c r="AJ1294" t="s">
        <v>69</v>
      </c>
      <c r="AK1294" t="s">
        <v>77</v>
      </c>
    </row>
    <row r="1295" spans="1:37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v>0</v>
      </c>
      <c r="AH1295">
        <v>0</v>
      </c>
      <c r="AI1295" t="s">
        <v>68</v>
      </c>
      <c r="AJ1295" t="s">
        <v>74</v>
      </c>
      <c r="AK1295" t="s">
        <v>77</v>
      </c>
    </row>
    <row r="1296" spans="1:37" x14ac:dyDescent="0.2">
      <c r="A1296">
        <v>41</v>
      </c>
      <c r="B1296" t="s">
        <v>43</v>
      </c>
      <c r="C1296" t="s">
        <v>67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v>0</v>
      </c>
      <c r="AH1296">
        <v>0</v>
      </c>
      <c r="AI1296" t="s">
        <v>68</v>
      </c>
      <c r="AJ1296" t="s">
        <v>79</v>
      </c>
      <c r="AK1296" t="s">
        <v>77</v>
      </c>
    </row>
    <row r="1297" spans="1:37" x14ac:dyDescent="0.2">
      <c r="A1297">
        <v>41</v>
      </c>
      <c r="B1297" t="s">
        <v>43</v>
      </c>
      <c r="C1297" t="s">
        <v>67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v>0</v>
      </c>
      <c r="AH1297">
        <v>1</v>
      </c>
      <c r="AI1297" t="s">
        <v>68</v>
      </c>
      <c r="AJ1297" t="s">
        <v>81</v>
      </c>
      <c r="AK1297" t="s">
        <v>73</v>
      </c>
    </row>
    <row r="1298" spans="1:37" x14ac:dyDescent="0.2">
      <c r="A1298">
        <v>30</v>
      </c>
      <c r="B1298" t="s">
        <v>43</v>
      </c>
      <c r="C1298" t="s">
        <v>67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v>0</v>
      </c>
      <c r="AH1298">
        <v>0</v>
      </c>
      <c r="AI1298" t="s">
        <v>76</v>
      </c>
      <c r="AJ1298" t="s">
        <v>79</v>
      </c>
      <c r="AK1298" t="s">
        <v>70</v>
      </c>
    </row>
    <row r="1299" spans="1:37" x14ac:dyDescent="0.2">
      <c r="A1299">
        <v>26</v>
      </c>
      <c r="B1299" t="s">
        <v>35</v>
      </c>
      <c r="C1299" t="s">
        <v>67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v>1</v>
      </c>
      <c r="AH1299">
        <v>1</v>
      </c>
      <c r="AI1299" t="s">
        <v>76</v>
      </c>
      <c r="AJ1299" t="s">
        <v>74</v>
      </c>
      <c r="AK1299" t="s">
        <v>70</v>
      </c>
    </row>
    <row r="1300" spans="1:37" x14ac:dyDescent="0.2">
      <c r="A1300">
        <v>46</v>
      </c>
      <c r="B1300" t="s">
        <v>35</v>
      </c>
      <c r="C1300" t="s">
        <v>67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v>1</v>
      </c>
      <c r="AH1300">
        <v>0</v>
      </c>
      <c r="AI1300" t="s">
        <v>72</v>
      </c>
      <c r="AJ1300" t="s">
        <v>79</v>
      </c>
      <c r="AK1300" t="s">
        <v>70</v>
      </c>
    </row>
    <row r="1301" spans="1:37" x14ac:dyDescent="0.2">
      <c r="A1301">
        <v>40</v>
      </c>
      <c r="B1301" t="s">
        <v>43</v>
      </c>
      <c r="C1301" t="s">
        <v>67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v>0</v>
      </c>
      <c r="AH1301">
        <v>0</v>
      </c>
      <c r="AI1301" t="s">
        <v>68</v>
      </c>
      <c r="AJ1301" t="s">
        <v>79</v>
      </c>
      <c r="AK1301" t="s">
        <v>70</v>
      </c>
    </row>
    <row r="1302" spans="1:37" x14ac:dyDescent="0.2">
      <c r="A1302">
        <v>34</v>
      </c>
      <c r="B1302" t="s">
        <v>43</v>
      </c>
      <c r="C1302" t="s">
        <v>67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v>0</v>
      </c>
      <c r="AH1302">
        <v>0</v>
      </c>
      <c r="AI1302" t="s">
        <v>76</v>
      </c>
      <c r="AJ1302" t="s">
        <v>79</v>
      </c>
      <c r="AK1302" t="s">
        <v>73</v>
      </c>
    </row>
    <row r="1303" spans="1:37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v>0</v>
      </c>
      <c r="AH1303">
        <v>0</v>
      </c>
      <c r="AI1303" t="s">
        <v>78</v>
      </c>
      <c r="AJ1303" t="s">
        <v>81</v>
      </c>
      <c r="AK1303" t="s">
        <v>73</v>
      </c>
    </row>
    <row r="1304" spans="1:37" x14ac:dyDescent="0.2">
      <c r="A1304">
        <v>35</v>
      </c>
      <c r="B1304" t="s">
        <v>43</v>
      </c>
      <c r="C1304" t="s">
        <v>67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v>0</v>
      </c>
      <c r="AH1304">
        <v>0</v>
      </c>
      <c r="AI1304" t="s">
        <v>68</v>
      </c>
      <c r="AJ1304" t="s">
        <v>74</v>
      </c>
      <c r="AK1304" t="s">
        <v>70</v>
      </c>
    </row>
    <row r="1305" spans="1:37" x14ac:dyDescent="0.2">
      <c r="A1305">
        <v>47</v>
      </c>
      <c r="B1305" t="s">
        <v>43</v>
      </c>
      <c r="C1305" t="s">
        <v>67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v>0</v>
      </c>
      <c r="AH1305">
        <v>1</v>
      </c>
      <c r="AI1305" t="s">
        <v>72</v>
      </c>
      <c r="AJ1305" t="s">
        <v>81</v>
      </c>
      <c r="AK1305" t="s">
        <v>73</v>
      </c>
    </row>
    <row r="1306" spans="1:37" x14ac:dyDescent="0.2">
      <c r="A1306">
        <v>40</v>
      </c>
      <c r="B1306" t="s">
        <v>43</v>
      </c>
      <c r="C1306" t="s">
        <v>67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v>0</v>
      </c>
      <c r="AH1306">
        <v>0</v>
      </c>
      <c r="AI1306" t="s">
        <v>68</v>
      </c>
      <c r="AJ1306" t="s">
        <v>69</v>
      </c>
      <c r="AK1306" t="s">
        <v>70</v>
      </c>
    </row>
    <row r="1307" spans="1:37" x14ac:dyDescent="0.2">
      <c r="A1307">
        <v>54</v>
      </c>
      <c r="B1307" t="s">
        <v>43</v>
      </c>
      <c r="C1307" t="s">
        <v>67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v>0</v>
      </c>
      <c r="AH1307">
        <v>0</v>
      </c>
      <c r="AI1307" t="s">
        <v>72</v>
      </c>
      <c r="AJ1307" t="s">
        <v>79</v>
      </c>
      <c r="AK1307" t="s">
        <v>70</v>
      </c>
    </row>
    <row r="1308" spans="1:37" x14ac:dyDescent="0.2">
      <c r="A1308">
        <v>31</v>
      </c>
      <c r="B1308" t="s">
        <v>43</v>
      </c>
      <c r="C1308" t="s">
        <v>71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v>0</v>
      </c>
      <c r="AH1308">
        <v>0</v>
      </c>
      <c r="AI1308" t="s">
        <v>76</v>
      </c>
      <c r="AJ1308" t="s">
        <v>79</v>
      </c>
      <c r="AK1308" t="s">
        <v>77</v>
      </c>
    </row>
    <row r="1309" spans="1:37" x14ac:dyDescent="0.2">
      <c r="A1309">
        <v>28</v>
      </c>
      <c r="B1309" t="s">
        <v>43</v>
      </c>
      <c r="C1309" t="s">
        <v>67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v>0</v>
      </c>
      <c r="AH1309">
        <v>0</v>
      </c>
      <c r="AI1309" t="s">
        <v>76</v>
      </c>
      <c r="AJ1309" t="s">
        <v>69</v>
      </c>
      <c r="AK1309" t="s">
        <v>77</v>
      </c>
    </row>
    <row r="1310" spans="1:37" x14ac:dyDescent="0.2">
      <c r="A1310">
        <v>38</v>
      </c>
      <c r="B1310" t="s">
        <v>43</v>
      </c>
      <c r="C1310" t="s">
        <v>67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v>0</v>
      </c>
      <c r="AH1310">
        <v>1</v>
      </c>
      <c r="AI1310" t="s">
        <v>68</v>
      </c>
      <c r="AJ1310" t="s">
        <v>69</v>
      </c>
      <c r="AK1310" t="s">
        <v>77</v>
      </c>
    </row>
    <row r="1311" spans="1:37" x14ac:dyDescent="0.2">
      <c r="A1311">
        <v>26</v>
      </c>
      <c r="B1311" t="s">
        <v>43</v>
      </c>
      <c r="C1311" t="s">
        <v>67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v>0</v>
      </c>
      <c r="AH1311">
        <v>0</v>
      </c>
      <c r="AI1311" t="s">
        <v>76</v>
      </c>
      <c r="AJ1311" t="s">
        <v>69</v>
      </c>
      <c r="AK1311" t="s">
        <v>70</v>
      </c>
    </row>
    <row r="1312" spans="1:37" x14ac:dyDescent="0.2">
      <c r="A1312">
        <v>58</v>
      </c>
      <c r="B1312" t="s">
        <v>43</v>
      </c>
      <c r="C1312" t="s">
        <v>71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v>0</v>
      </c>
      <c r="AH1312">
        <v>1</v>
      </c>
      <c r="AI1312" t="s">
        <v>78</v>
      </c>
      <c r="AJ1312" t="s">
        <v>81</v>
      </c>
      <c r="AK1312" t="s">
        <v>77</v>
      </c>
    </row>
    <row r="1313" spans="1:37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80</v>
      </c>
      <c r="AJ1313" t="s">
        <v>74</v>
      </c>
      <c r="AK1313" t="s">
        <v>75</v>
      </c>
    </row>
    <row r="1314" spans="1:37" x14ac:dyDescent="0.2">
      <c r="A1314">
        <v>31</v>
      </c>
      <c r="B1314" t="s">
        <v>35</v>
      </c>
      <c r="C1314" t="s">
        <v>67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 t="s">
        <v>76</v>
      </c>
      <c r="AJ1314" t="s">
        <v>74</v>
      </c>
      <c r="AK1314" t="s">
        <v>75</v>
      </c>
    </row>
    <row r="1315" spans="1:37" x14ac:dyDescent="0.2">
      <c r="A1315">
        <v>29</v>
      </c>
      <c r="B1315" t="s">
        <v>35</v>
      </c>
      <c r="C1315" t="s">
        <v>67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v>1</v>
      </c>
      <c r="AH1315">
        <v>1</v>
      </c>
      <c r="AI1315" t="s">
        <v>76</v>
      </c>
      <c r="AJ1315" t="s">
        <v>74</v>
      </c>
      <c r="AK1315" t="s">
        <v>77</v>
      </c>
    </row>
    <row r="1316" spans="1:37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v>0</v>
      </c>
      <c r="AH1316">
        <v>0</v>
      </c>
      <c r="AI1316" t="s">
        <v>72</v>
      </c>
      <c r="AJ1316" t="s">
        <v>69</v>
      </c>
      <c r="AK1316" t="s">
        <v>70</v>
      </c>
    </row>
    <row r="1317" spans="1:37" x14ac:dyDescent="0.2">
      <c r="A1317">
        <v>36</v>
      </c>
      <c r="B1317" t="s">
        <v>43</v>
      </c>
      <c r="C1317" t="s">
        <v>67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s">
        <v>68</v>
      </c>
      <c r="AJ1317" t="s">
        <v>79</v>
      </c>
      <c r="AK1317" t="s">
        <v>75</v>
      </c>
    </row>
    <row r="1318" spans="1:37" x14ac:dyDescent="0.2">
      <c r="A1318">
        <v>43</v>
      </c>
      <c r="B1318" t="s">
        <v>43</v>
      </c>
      <c r="C1318" t="s">
        <v>71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v>0</v>
      </c>
      <c r="AH1318">
        <v>0</v>
      </c>
      <c r="AI1318" t="s">
        <v>68</v>
      </c>
      <c r="AJ1318" t="s">
        <v>69</v>
      </c>
      <c r="AK1318" t="s">
        <v>70</v>
      </c>
    </row>
    <row r="1319" spans="1:37" x14ac:dyDescent="0.2">
      <c r="A1319">
        <v>27</v>
      </c>
      <c r="B1319" t="s">
        <v>43</v>
      </c>
      <c r="C1319" t="s">
        <v>71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v>0</v>
      </c>
      <c r="AH1319">
        <v>1</v>
      </c>
      <c r="AI1319" t="s">
        <v>76</v>
      </c>
      <c r="AJ1319" t="s">
        <v>74</v>
      </c>
      <c r="AK1319" t="s">
        <v>70</v>
      </c>
    </row>
    <row r="1320" spans="1:37" x14ac:dyDescent="0.2">
      <c r="A1320">
        <v>29</v>
      </c>
      <c r="B1320" t="s">
        <v>43</v>
      </c>
      <c r="C1320" t="s">
        <v>71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v>0</v>
      </c>
      <c r="AH1320">
        <v>0</v>
      </c>
      <c r="AI1320" t="s">
        <v>76</v>
      </c>
      <c r="AJ1320" t="s">
        <v>69</v>
      </c>
      <c r="AK1320" t="s">
        <v>73</v>
      </c>
    </row>
    <row r="1321" spans="1:37" x14ac:dyDescent="0.2">
      <c r="A1321">
        <v>32</v>
      </c>
      <c r="B1321" t="s">
        <v>43</v>
      </c>
      <c r="C1321" t="s">
        <v>71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76</v>
      </c>
      <c r="AJ1321" t="s">
        <v>69</v>
      </c>
      <c r="AK1321" t="s">
        <v>75</v>
      </c>
    </row>
    <row r="1322" spans="1:37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v>0</v>
      </c>
      <c r="AH1322">
        <v>0</v>
      </c>
      <c r="AI1322" t="s">
        <v>68</v>
      </c>
      <c r="AJ1322" t="s">
        <v>74</v>
      </c>
      <c r="AK1322" t="s">
        <v>70</v>
      </c>
    </row>
    <row r="1323" spans="1:37" x14ac:dyDescent="0.2">
      <c r="A1323">
        <v>47</v>
      </c>
      <c r="B1323" t="s">
        <v>43</v>
      </c>
      <c r="C1323" t="s">
        <v>67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v>0</v>
      </c>
      <c r="AH1323">
        <v>0</v>
      </c>
      <c r="AI1323" t="s">
        <v>72</v>
      </c>
      <c r="AJ1323" t="s">
        <v>74</v>
      </c>
      <c r="AK1323" t="s">
        <v>77</v>
      </c>
    </row>
    <row r="1324" spans="1:37" x14ac:dyDescent="0.2">
      <c r="A1324">
        <v>46</v>
      </c>
      <c r="B1324" t="s">
        <v>43</v>
      </c>
      <c r="C1324" t="s">
        <v>67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v>0</v>
      </c>
      <c r="AH1324">
        <v>0</v>
      </c>
      <c r="AI1324" t="s">
        <v>72</v>
      </c>
      <c r="AJ1324" t="s">
        <v>79</v>
      </c>
      <c r="AK1324" t="s">
        <v>70</v>
      </c>
    </row>
    <row r="1325" spans="1:37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v>0</v>
      </c>
      <c r="AH1325">
        <v>0</v>
      </c>
      <c r="AI1325" t="s">
        <v>76</v>
      </c>
      <c r="AJ1325" t="s">
        <v>74</v>
      </c>
      <c r="AK1325" t="s">
        <v>77</v>
      </c>
    </row>
    <row r="1326" spans="1:37" x14ac:dyDescent="0.2">
      <c r="A1326">
        <v>29</v>
      </c>
      <c r="B1326" t="s">
        <v>43</v>
      </c>
      <c r="C1326" t="s">
        <v>67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v>0</v>
      </c>
      <c r="AH1326">
        <v>0</v>
      </c>
      <c r="AI1326" t="s">
        <v>76</v>
      </c>
      <c r="AJ1326" t="s">
        <v>79</v>
      </c>
      <c r="AK1326" t="s">
        <v>70</v>
      </c>
    </row>
    <row r="1327" spans="1:37" x14ac:dyDescent="0.2">
      <c r="A1327">
        <v>42</v>
      </c>
      <c r="B1327" t="s">
        <v>43</v>
      </c>
      <c r="C1327" t="s">
        <v>67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68</v>
      </c>
      <c r="AJ1327" t="s">
        <v>69</v>
      </c>
      <c r="AK1327" t="s">
        <v>75</v>
      </c>
    </row>
    <row r="1328" spans="1:37" x14ac:dyDescent="0.2">
      <c r="A1328">
        <v>32</v>
      </c>
      <c r="B1328" t="s">
        <v>35</v>
      </c>
      <c r="C1328" t="s">
        <v>67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v>1</v>
      </c>
      <c r="AH1328">
        <v>1</v>
      </c>
      <c r="AI1328" t="s">
        <v>76</v>
      </c>
      <c r="AJ1328" t="s">
        <v>79</v>
      </c>
      <c r="AK1328" t="s">
        <v>77</v>
      </c>
    </row>
    <row r="1329" spans="1:37" x14ac:dyDescent="0.2">
      <c r="A1329">
        <v>46</v>
      </c>
      <c r="B1329" t="s">
        <v>43</v>
      </c>
      <c r="C1329" t="s">
        <v>67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v>0</v>
      </c>
      <c r="AH1329">
        <v>0</v>
      </c>
      <c r="AI1329" t="s">
        <v>72</v>
      </c>
      <c r="AJ1329" t="s">
        <v>81</v>
      </c>
      <c r="AK1329" t="s">
        <v>73</v>
      </c>
    </row>
    <row r="1330" spans="1:37" x14ac:dyDescent="0.2">
      <c r="A1330">
        <v>27</v>
      </c>
      <c r="B1330" t="s">
        <v>43</v>
      </c>
      <c r="C1330" t="s">
        <v>67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v>0</v>
      </c>
      <c r="AH1330">
        <v>0</v>
      </c>
      <c r="AI1330" t="s">
        <v>76</v>
      </c>
      <c r="AJ1330" t="s">
        <v>69</v>
      </c>
      <c r="AK1330" t="s">
        <v>70</v>
      </c>
    </row>
    <row r="1331" spans="1:37" x14ac:dyDescent="0.2">
      <c r="A1331">
        <v>29</v>
      </c>
      <c r="B1331" t="s">
        <v>43</v>
      </c>
      <c r="C1331" t="s">
        <v>67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76</v>
      </c>
      <c r="AJ1331" t="s">
        <v>74</v>
      </c>
      <c r="AK1331" t="s">
        <v>75</v>
      </c>
    </row>
    <row r="1332" spans="1:37" x14ac:dyDescent="0.2">
      <c r="A1332">
        <v>43</v>
      </c>
      <c r="B1332" t="s">
        <v>43</v>
      </c>
      <c r="C1332" t="s">
        <v>67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v>0</v>
      </c>
      <c r="AH1332">
        <v>0</v>
      </c>
      <c r="AI1332" t="s">
        <v>68</v>
      </c>
      <c r="AJ1332" t="s">
        <v>81</v>
      </c>
      <c r="AK1332" t="s">
        <v>73</v>
      </c>
    </row>
    <row r="1333" spans="1:37" x14ac:dyDescent="0.2">
      <c r="A1333">
        <v>48</v>
      </c>
      <c r="B1333" t="s">
        <v>43</v>
      </c>
      <c r="C1333" t="s">
        <v>67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v>0</v>
      </c>
      <c r="AH1333">
        <v>0</v>
      </c>
      <c r="AI1333" t="s">
        <v>72</v>
      </c>
      <c r="AJ1333" t="s">
        <v>81</v>
      </c>
      <c r="AK1333" t="s">
        <v>73</v>
      </c>
    </row>
    <row r="1334" spans="1:37" x14ac:dyDescent="0.2">
      <c r="A1334">
        <v>29</v>
      </c>
      <c r="B1334" t="s">
        <v>35</v>
      </c>
      <c r="C1334" t="s">
        <v>71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v>1</v>
      </c>
      <c r="AH1334">
        <v>1</v>
      </c>
      <c r="AI1334" t="s">
        <v>76</v>
      </c>
      <c r="AJ1334" t="s">
        <v>74</v>
      </c>
      <c r="AK1334" t="s">
        <v>75</v>
      </c>
    </row>
    <row r="1335" spans="1:37" x14ac:dyDescent="0.2">
      <c r="A1335">
        <v>46</v>
      </c>
      <c r="B1335" t="s">
        <v>35</v>
      </c>
      <c r="C1335" t="s">
        <v>67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v>1</v>
      </c>
      <c r="AH1335">
        <v>0</v>
      </c>
      <c r="AI1335" t="s">
        <v>72</v>
      </c>
      <c r="AJ1335" t="s">
        <v>79</v>
      </c>
      <c r="AK1335" t="s">
        <v>70</v>
      </c>
    </row>
    <row r="1336" spans="1:37" x14ac:dyDescent="0.2">
      <c r="A1336">
        <v>27</v>
      </c>
      <c r="B1336" t="s">
        <v>43</v>
      </c>
      <c r="C1336" t="s">
        <v>71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v>0</v>
      </c>
      <c r="AH1336">
        <v>0</v>
      </c>
      <c r="AI1336" t="s">
        <v>76</v>
      </c>
      <c r="AJ1336" t="s">
        <v>69</v>
      </c>
      <c r="AK1336" t="s">
        <v>70</v>
      </c>
    </row>
    <row r="1337" spans="1:37" x14ac:dyDescent="0.2">
      <c r="A1337">
        <v>39</v>
      </c>
      <c r="B1337" t="s">
        <v>43</v>
      </c>
      <c r="C1337" t="s">
        <v>67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v>0</v>
      </c>
      <c r="AH1337">
        <v>0</v>
      </c>
      <c r="AI1337" t="s">
        <v>68</v>
      </c>
      <c r="AJ1337" t="s">
        <v>69</v>
      </c>
      <c r="AK1337" t="s">
        <v>77</v>
      </c>
    </row>
    <row r="1338" spans="1:37" x14ac:dyDescent="0.2">
      <c r="A1338">
        <v>55</v>
      </c>
      <c r="B1338" t="s">
        <v>43</v>
      </c>
      <c r="C1338" t="s">
        <v>67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v>0</v>
      </c>
      <c r="AH1338">
        <v>0</v>
      </c>
      <c r="AI1338" t="s">
        <v>78</v>
      </c>
      <c r="AJ1338" t="s">
        <v>74</v>
      </c>
      <c r="AK1338" t="s">
        <v>70</v>
      </c>
    </row>
    <row r="1339" spans="1:37" x14ac:dyDescent="0.2">
      <c r="A1339">
        <v>28</v>
      </c>
      <c r="B1339" t="s">
        <v>43</v>
      </c>
      <c r="C1339" t="s">
        <v>67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76</v>
      </c>
      <c r="AJ1339" t="s">
        <v>74</v>
      </c>
      <c r="AK1339" t="s">
        <v>75</v>
      </c>
    </row>
    <row r="1340" spans="1:37" x14ac:dyDescent="0.2">
      <c r="A1340">
        <v>30</v>
      </c>
      <c r="B1340" t="s">
        <v>35</v>
      </c>
      <c r="C1340" t="s">
        <v>67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 t="s">
        <v>76</v>
      </c>
      <c r="AJ1340" t="s">
        <v>74</v>
      </c>
      <c r="AK1340" t="s">
        <v>75</v>
      </c>
    </row>
    <row r="1341" spans="1:37" x14ac:dyDescent="0.2">
      <c r="A1341">
        <v>22</v>
      </c>
      <c r="B1341" t="s">
        <v>35</v>
      </c>
      <c r="C1341" t="s">
        <v>67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1</v>
      </c>
      <c r="AI1341" t="s">
        <v>80</v>
      </c>
      <c r="AJ1341" t="s">
        <v>74</v>
      </c>
      <c r="AK1341" t="s">
        <v>75</v>
      </c>
    </row>
    <row r="1342" spans="1:37" x14ac:dyDescent="0.2">
      <c r="A1342">
        <v>36</v>
      </c>
      <c r="B1342" t="s">
        <v>43</v>
      </c>
      <c r="C1342" t="s">
        <v>67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v>0</v>
      </c>
      <c r="AH1342">
        <v>1</v>
      </c>
      <c r="AI1342" t="s">
        <v>68</v>
      </c>
      <c r="AJ1342" t="s">
        <v>69</v>
      </c>
      <c r="AK1342" t="s">
        <v>73</v>
      </c>
    </row>
    <row r="1343" spans="1:37" x14ac:dyDescent="0.2">
      <c r="A1343">
        <v>31</v>
      </c>
      <c r="B1343" t="s">
        <v>43</v>
      </c>
      <c r="C1343" t="s">
        <v>67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v>0</v>
      </c>
      <c r="AH1343">
        <v>0</v>
      </c>
      <c r="AI1343" t="s">
        <v>76</v>
      </c>
      <c r="AJ1343" t="s">
        <v>69</v>
      </c>
      <c r="AK1343" t="s">
        <v>73</v>
      </c>
    </row>
    <row r="1344" spans="1:37" x14ac:dyDescent="0.2">
      <c r="A1344">
        <v>34</v>
      </c>
      <c r="B1344" t="s">
        <v>43</v>
      </c>
      <c r="C1344" t="s">
        <v>67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v>0</v>
      </c>
      <c r="AH1344">
        <v>1</v>
      </c>
      <c r="AI1344" t="s">
        <v>76</v>
      </c>
      <c r="AJ1344" t="s">
        <v>79</v>
      </c>
      <c r="AK1344" t="s">
        <v>70</v>
      </c>
    </row>
    <row r="1345" spans="1:37" x14ac:dyDescent="0.2">
      <c r="A1345">
        <v>29</v>
      </c>
      <c r="B1345" t="s">
        <v>43</v>
      </c>
      <c r="C1345" t="s">
        <v>67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v>0</v>
      </c>
      <c r="AH1345">
        <v>0</v>
      </c>
      <c r="AI1345" t="s">
        <v>76</v>
      </c>
      <c r="AJ1345" t="s">
        <v>74</v>
      </c>
      <c r="AK1345" t="s">
        <v>77</v>
      </c>
    </row>
    <row r="1346" spans="1:37" x14ac:dyDescent="0.2">
      <c r="A1346">
        <v>37</v>
      </c>
      <c r="B1346" t="s">
        <v>43</v>
      </c>
      <c r="C1346" t="s">
        <v>67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v>0</v>
      </c>
      <c r="AH1346">
        <v>1</v>
      </c>
      <c r="AI1346" t="s">
        <v>68</v>
      </c>
      <c r="AJ1346" t="s">
        <v>69</v>
      </c>
      <c r="AK1346" t="s">
        <v>70</v>
      </c>
    </row>
    <row r="1347" spans="1:37" x14ac:dyDescent="0.2">
      <c r="A1347">
        <v>35</v>
      </c>
      <c r="B1347" t="s">
        <v>43</v>
      </c>
      <c r="C1347" t="s">
        <v>67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v>0</v>
      </c>
      <c r="AH1347">
        <v>1</v>
      </c>
      <c r="AI1347" t="s">
        <v>68</v>
      </c>
      <c r="AJ1347" t="s">
        <v>69</v>
      </c>
      <c r="AK1347" t="s">
        <v>77</v>
      </c>
    </row>
    <row r="1348" spans="1:37" x14ac:dyDescent="0.2">
      <c r="A1348">
        <v>45</v>
      </c>
      <c r="B1348" t="s">
        <v>43</v>
      </c>
      <c r="C1348" t="s">
        <v>67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v>0</v>
      </c>
      <c r="AH1348">
        <v>0</v>
      </c>
      <c r="AI1348" t="s">
        <v>72</v>
      </c>
      <c r="AJ1348" t="s">
        <v>69</v>
      </c>
      <c r="AK1348" t="s">
        <v>70</v>
      </c>
    </row>
    <row r="1349" spans="1:37" x14ac:dyDescent="0.2">
      <c r="A1349">
        <v>36</v>
      </c>
      <c r="B1349" t="s">
        <v>43</v>
      </c>
      <c r="C1349" t="s">
        <v>71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v>0</v>
      </c>
      <c r="AH1349">
        <v>0</v>
      </c>
      <c r="AI1349" t="s">
        <v>68</v>
      </c>
      <c r="AJ1349" t="s">
        <v>69</v>
      </c>
      <c r="AK1349" t="s">
        <v>73</v>
      </c>
    </row>
    <row r="1350" spans="1:37" x14ac:dyDescent="0.2">
      <c r="A1350">
        <v>40</v>
      </c>
      <c r="B1350" t="s">
        <v>43</v>
      </c>
      <c r="C1350" t="s">
        <v>67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v>0</v>
      </c>
      <c r="AH1350">
        <v>0</v>
      </c>
      <c r="AI1350" t="s">
        <v>68</v>
      </c>
      <c r="AJ1350" t="s">
        <v>81</v>
      </c>
      <c r="AK1350" t="s">
        <v>73</v>
      </c>
    </row>
    <row r="1351" spans="1:37" x14ac:dyDescent="0.2">
      <c r="A1351">
        <v>26</v>
      </c>
      <c r="B1351" t="s">
        <v>43</v>
      </c>
      <c r="C1351" t="s">
        <v>67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v>0</v>
      </c>
      <c r="AH1351">
        <v>1</v>
      </c>
      <c r="AI1351" t="s">
        <v>76</v>
      </c>
      <c r="AJ1351" t="s">
        <v>74</v>
      </c>
      <c r="AK1351" t="s">
        <v>75</v>
      </c>
    </row>
    <row r="1352" spans="1:37" x14ac:dyDescent="0.2">
      <c r="A1352">
        <v>27</v>
      </c>
      <c r="B1352" t="s">
        <v>43</v>
      </c>
      <c r="C1352" t="s">
        <v>67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v>0</v>
      </c>
      <c r="AH1352">
        <v>0</v>
      </c>
      <c r="AI1352" t="s">
        <v>76</v>
      </c>
      <c r="AJ1352" t="s">
        <v>79</v>
      </c>
      <c r="AK1352" t="s">
        <v>70</v>
      </c>
    </row>
    <row r="1353" spans="1:37" x14ac:dyDescent="0.2">
      <c r="A1353">
        <v>48</v>
      </c>
      <c r="B1353" t="s">
        <v>43</v>
      </c>
      <c r="C1353" t="s">
        <v>71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v>0</v>
      </c>
      <c r="AH1353">
        <v>0</v>
      </c>
      <c r="AI1353" t="s">
        <v>72</v>
      </c>
      <c r="AJ1353" t="s">
        <v>81</v>
      </c>
      <c r="AK1353" t="s">
        <v>73</v>
      </c>
    </row>
    <row r="1354" spans="1:37" x14ac:dyDescent="0.2">
      <c r="A1354">
        <v>44</v>
      </c>
      <c r="B1354" t="s">
        <v>43</v>
      </c>
      <c r="C1354" t="s">
        <v>67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v>0</v>
      </c>
      <c r="AH1354">
        <v>0</v>
      </c>
      <c r="AI1354" t="s">
        <v>68</v>
      </c>
      <c r="AJ1354" t="s">
        <v>69</v>
      </c>
      <c r="AK1354" t="s">
        <v>77</v>
      </c>
    </row>
    <row r="1355" spans="1:37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v>1</v>
      </c>
      <c r="AH1355">
        <v>1</v>
      </c>
      <c r="AI1355" t="s">
        <v>76</v>
      </c>
      <c r="AJ1355" t="s">
        <v>74</v>
      </c>
      <c r="AK1355" t="s">
        <v>70</v>
      </c>
    </row>
    <row r="1356" spans="1:37" x14ac:dyDescent="0.2">
      <c r="A1356">
        <v>56</v>
      </c>
      <c r="B1356" t="s">
        <v>35</v>
      </c>
      <c r="C1356" t="s">
        <v>67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v>1</v>
      </c>
      <c r="AH1356">
        <v>0</v>
      </c>
      <c r="AI1356" t="s">
        <v>78</v>
      </c>
      <c r="AJ1356" t="s">
        <v>74</v>
      </c>
      <c r="AK1356" t="s">
        <v>77</v>
      </c>
    </row>
    <row r="1357" spans="1:37" x14ac:dyDescent="0.2">
      <c r="A1357">
        <v>36</v>
      </c>
      <c r="B1357" t="s">
        <v>43</v>
      </c>
      <c r="C1357" t="s">
        <v>67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v>0</v>
      </c>
      <c r="AH1357">
        <v>0</v>
      </c>
      <c r="AI1357" t="s">
        <v>68</v>
      </c>
      <c r="AJ1357" t="s">
        <v>69</v>
      </c>
      <c r="AK1357" t="s">
        <v>77</v>
      </c>
    </row>
    <row r="1358" spans="1:37" x14ac:dyDescent="0.2">
      <c r="A1358">
        <v>41</v>
      </c>
      <c r="B1358" t="s">
        <v>43</v>
      </c>
      <c r="C1358" t="s">
        <v>67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v>0</v>
      </c>
      <c r="AH1358">
        <v>0</v>
      </c>
      <c r="AI1358" t="s">
        <v>68</v>
      </c>
      <c r="AJ1358" t="s">
        <v>69</v>
      </c>
      <c r="AK1358" t="s">
        <v>70</v>
      </c>
    </row>
    <row r="1359" spans="1:37" x14ac:dyDescent="0.2">
      <c r="A1359">
        <v>42</v>
      </c>
      <c r="B1359" t="s">
        <v>43</v>
      </c>
      <c r="C1359" t="s">
        <v>67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v>0</v>
      </c>
      <c r="AH1359">
        <v>0</v>
      </c>
      <c r="AI1359" t="s">
        <v>68</v>
      </c>
      <c r="AJ1359" t="s">
        <v>81</v>
      </c>
      <c r="AK1359" t="s">
        <v>73</v>
      </c>
    </row>
    <row r="1360" spans="1:37" x14ac:dyDescent="0.2">
      <c r="A1360">
        <v>31</v>
      </c>
      <c r="B1360" t="s">
        <v>43</v>
      </c>
      <c r="C1360" t="s">
        <v>67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v>0</v>
      </c>
      <c r="AH1360">
        <v>1</v>
      </c>
      <c r="AI1360" t="s">
        <v>76</v>
      </c>
      <c r="AJ1360" t="s">
        <v>79</v>
      </c>
      <c r="AK1360" t="s">
        <v>70</v>
      </c>
    </row>
    <row r="1361" spans="1:37" x14ac:dyDescent="0.2">
      <c r="A1361">
        <v>34</v>
      </c>
      <c r="B1361" t="s">
        <v>43</v>
      </c>
      <c r="C1361" t="s">
        <v>67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v>0</v>
      </c>
      <c r="AH1361">
        <v>1</v>
      </c>
      <c r="AI1361" t="s">
        <v>76</v>
      </c>
      <c r="AJ1361" t="s">
        <v>79</v>
      </c>
      <c r="AK1361" t="s">
        <v>77</v>
      </c>
    </row>
    <row r="1362" spans="1:37" x14ac:dyDescent="0.2">
      <c r="A1362">
        <v>31</v>
      </c>
      <c r="B1362" t="s">
        <v>43</v>
      </c>
      <c r="C1362" t="s">
        <v>67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v>0</v>
      </c>
      <c r="AH1362">
        <v>0</v>
      </c>
      <c r="AI1362" t="s">
        <v>76</v>
      </c>
      <c r="AJ1362" t="s">
        <v>69</v>
      </c>
      <c r="AK1362" t="s">
        <v>77</v>
      </c>
    </row>
    <row r="1363" spans="1:37" x14ac:dyDescent="0.2">
      <c r="A1363">
        <v>26</v>
      </c>
      <c r="B1363" t="s">
        <v>43</v>
      </c>
      <c r="C1363" t="s">
        <v>71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v>0</v>
      </c>
      <c r="AH1363">
        <v>0</v>
      </c>
      <c r="AI1363" t="s">
        <v>76</v>
      </c>
      <c r="AJ1363" t="s">
        <v>74</v>
      </c>
      <c r="AK1363" t="s">
        <v>70</v>
      </c>
    </row>
    <row r="1364" spans="1:37" x14ac:dyDescent="0.2">
      <c r="A1364">
        <v>45</v>
      </c>
      <c r="B1364" t="s">
        <v>43</v>
      </c>
      <c r="C1364" t="s">
        <v>71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v>0</v>
      </c>
      <c r="AH1364">
        <v>0</v>
      </c>
      <c r="AI1364" t="s">
        <v>72</v>
      </c>
      <c r="AJ1364" t="s">
        <v>69</v>
      </c>
      <c r="AK1364" t="s">
        <v>77</v>
      </c>
    </row>
    <row r="1365" spans="1:37" x14ac:dyDescent="0.2">
      <c r="A1365">
        <v>33</v>
      </c>
      <c r="B1365" t="s">
        <v>43</v>
      </c>
      <c r="C1365" t="s">
        <v>67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v>0</v>
      </c>
      <c r="AH1365">
        <v>0</v>
      </c>
      <c r="AI1365" t="s">
        <v>76</v>
      </c>
      <c r="AJ1365" t="s">
        <v>69</v>
      </c>
      <c r="AK1365" t="s">
        <v>73</v>
      </c>
    </row>
    <row r="1366" spans="1:37" x14ac:dyDescent="0.2">
      <c r="A1366">
        <v>28</v>
      </c>
      <c r="B1366" t="s">
        <v>43</v>
      </c>
      <c r="C1366" t="s">
        <v>71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v>0</v>
      </c>
      <c r="AH1366">
        <v>1</v>
      </c>
      <c r="AI1366" t="s">
        <v>76</v>
      </c>
      <c r="AJ1366" t="s">
        <v>79</v>
      </c>
      <c r="AK1366" t="s">
        <v>70</v>
      </c>
    </row>
    <row r="1367" spans="1:37" x14ac:dyDescent="0.2">
      <c r="A1367">
        <v>29</v>
      </c>
      <c r="B1367" t="s">
        <v>35</v>
      </c>
      <c r="C1367" t="s">
        <v>71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 t="s">
        <v>76</v>
      </c>
      <c r="AJ1367" t="s">
        <v>74</v>
      </c>
      <c r="AK1367" t="s">
        <v>75</v>
      </c>
    </row>
    <row r="1368" spans="1:37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v>0</v>
      </c>
      <c r="AH1368">
        <v>0</v>
      </c>
      <c r="AI1368" t="s">
        <v>68</v>
      </c>
      <c r="AJ1368" t="s">
        <v>69</v>
      </c>
      <c r="AK1368" t="s">
        <v>77</v>
      </c>
    </row>
    <row r="1369" spans="1:37" x14ac:dyDescent="0.2">
      <c r="A1369">
        <v>27</v>
      </c>
      <c r="B1369" t="s">
        <v>43</v>
      </c>
      <c r="C1369" t="s">
        <v>67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v>0</v>
      </c>
      <c r="AH1369">
        <v>0</v>
      </c>
      <c r="AI1369" t="s">
        <v>76</v>
      </c>
      <c r="AJ1369" t="s">
        <v>74</v>
      </c>
      <c r="AK1369" t="s">
        <v>70</v>
      </c>
    </row>
    <row r="1370" spans="1:37" x14ac:dyDescent="0.2">
      <c r="A1370">
        <v>34</v>
      </c>
      <c r="B1370" t="s">
        <v>43</v>
      </c>
      <c r="C1370" t="s">
        <v>71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v>0</v>
      </c>
      <c r="AH1370">
        <v>1</v>
      </c>
      <c r="AI1370" t="s">
        <v>76</v>
      </c>
      <c r="AJ1370" t="s">
        <v>69</v>
      </c>
      <c r="AK1370" t="s">
        <v>73</v>
      </c>
    </row>
    <row r="1371" spans="1:37" x14ac:dyDescent="0.2">
      <c r="A1371">
        <v>28</v>
      </c>
      <c r="B1371" t="s">
        <v>35</v>
      </c>
      <c r="C1371" t="s">
        <v>67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v>1</v>
      </c>
      <c r="AH1371">
        <v>1</v>
      </c>
      <c r="AI1371" t="s">
        <v>76</v>
      </c>
      <c r="AJ1371" t="s">
        <v>79</v>
      </c>
      <c r="AK1371" t="s">
        <v>77</v>
      </c>
    </row>
    <row r="1372" spans="1:37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v>0</v>
      </c>
      <c r="AH1372">
        <v>0</v>
      </c>
      <c r="AI1372" t="s">
        <v>72</v>
      </c>
      <c r="AJ1372" t="s">
        <v>69</v>
      </c>
      <c r="AK1372" t="s">
        <v>70</v>
      </c>
    </row>
    <row r="1373" spans="1:37" x14ac:dyDescent="0.2">
      <c r="A1373">
        <v>56</v>
      </c>
      <c r="B1373" t="s">
        <v>43</v>
      </c>
      <c r="C1373" t="s">
        <v>67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78</v>
      </c>
      <c r="AJ1373" t="s">
        <v>69</v>
      </c>
      <c r="AK1373" t="s">
        <v>75</v>
      </c>
    </row>
    <row r="1374" spans="1:37" x14ac:dyDescent="0.2">
      <c r="A1374">
        <v>39</v>
      </c>
      <c r="B1374" t="s">
        <v>43</v>
      </c>
      <c r="C1374" t="s">
        <v>67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v>0</v>
      </c>
      <c r="AH1374">
        <v>0</v>
      </c>
      <c r="AI1374" t="s">
        <v>68</v>
      </c>
      <c r="AJ1374" t="s">
        <v>69</v>
      </c>
      <c r="AK1374" t="s">
        <v>73</v>
      </c>
    </row>
    <row r="1375" spans="1:37" x14ac:dyDescent="0.2">
      <c r="A1375">
        <v>38</v>
      </c>
      <c r="B1375" t="s">
        <v>43</v>
      </c>
      <c r="C1375" t="s">
        <v>71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v>0</v>
      </c>
      <c r="AH1375">
        <v>1</v>
      </c>
      <c r="AI1375" t="s">
        <v>68</v>
      </c>
      <c r="AJ1375" t="s">
        <v>74</v>
      </c>
      <c r="AK1375" t="s">
        <v>73</v>
      </c>
    </row>
    <row r="1376" spans="1:37" x14ac:dyDescent="0.2">
      <c r="A1376">
        <v>58</v>
      </c>
      <c r="B1376" t="s">
        <v>43</v>
      </c>
      <c r="C1376" t="s">
        <v>67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 t="s">
        <v>78</v>
      </c>
      <c r="AJ1376" t="s">
        <v>81</v>
      </c>
      <c r="AK1376" t="s">
        <v>75</v>
      </c>
    </row>
    <row r="1377" spans="1:37" x14ac:dyDescent="0.2">
      <c r="A1377">
        <v>32</v>
      </c>
      <c r="B1377" t="s">
        <v>35</v>
      </c>
      <c r="C1377" t="s">
        <v>71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v>1</v>
      </c>
      <c r="AH1377">
        <v>1</v>
      </c>
      <c r="AI1377" t="s">
        <v>76</v>
      </c>
      <c r="AJ1377" t="s">
        <v>74</v>
      </c>
      <c r="AK1377" t="s">
        <v>77</v>
      </c>
    </row>
    <row r="1378" spans="1:37" x14ac:dyDescent="0.2">
      <c r="A1378">
        <v>38</v>
      </c>
      <c r="B1378" t="s">
        <v>43</v>
      </c>
      <c r="C1378" t="s">
        <v>67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v>0</v>
      </c>
      <c r="AH1378">
        <v>0</v>
      </c>
      <c r="AI1378" t="s">
        <v>68</v>
      </c>
      <c r="AJ1378" t="s">
        <v>69</v>
      </c>
      <c r="AK1378" t="s">
        <v>70</v>
      </c>
    </row>
    <row r="1379" spans="1:37" x14ac:dyDescent="0.2">
      <c r="A1379">
        <v>49</v>
      </c>
      <c r="B1379" t="s">
        <v>43</v>
      </c>
      <c r="C1379" t="s">
        <v>71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v>0</v>
      </c>
      <c r="AH1379">
        <v>0</v>
      </c>
      <c r="AI1379" t="s">
        <v>72</v>
      </c>
      <c r="AJ1379" t="s">
        <v>81</v>
      </c>
      <c r="AK1379" t="s">
        <v>70</v>
      </c>
    </row>
    <row r="1380" spans="1:37" x14ac:dyDescent="0.2">
      <c r="A1380">
        <v>42</v>
      </c>
      <c r="B1380" t="s">
        <v>43</v>
      </c>
      <c r="C1380" t="s">
        <v>67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 t="s">
        <v>68</v>
      </c>
      <c r="AJ1380" t="s">
        <v>69</v>
      </c>
      <c r="AK1380" t="s">
        <v>75</v>
      </c>
    </row>
    <row r="1381" spans="1:37" x14ac:dyDescent="0.2">
      <c r="A1381">
        <v>27</v>
      </c>
      <c r="B1381" t="s">
        <v>35</v>
      </c>
      <c r="C1381" t="s">
        <v>71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 t="s">
        <v>76</v>
      </c>
      <c r="AJ1381" t="s">
        <v>74</v>
      </c>
      <c r="AK1381" t="s">
        <v>75</v>
      </c>
    </row>
    <row r="1382" spans="1:37" x14ac:dyDescent="0.2">
      <c r="A1382">
        <v>35</v>
      </c>
      <c r="B1382" t="s">
        <v>43</v>
      </c>
      <c r="C1382" t="s">
        <v>67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v>0</v>
      </c>
      <c r="AH1382">
        <v>0</v>
      </c>
      <c r="AI1382" t="s">
        <v>68</v>
      </c>
      <c r="AJ1382" t="s">
        <v>69</v>
      </c>
      <c r="AK1382" t="s">
        <v>70</v>
      </c>
    </row>
    <row r="1383" spans="1:37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v>0</v>
      </c>
      <c r="AH1383">
        <v>0</v>
      </c>
      <c r="AI1383" t="s">
        <v>76</v>
      </c>
      <c r="AJ1383" t="s">
        <v>74</v>
      </c>
      <c r="AK1383" t="s">
        <v>70</v>
      </c>
    </row>
    <row r="1384" spans="1:37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v>0</v>
      </c>
      <c r="AH1384">
        <v>1</v>
      </c>
      <c r="AI1384" t="s">
        <v>76</v>
      </c>
      <c r="AJ1384" t="s">
        <v>69</v>
      </c>
      <c r="AK1384" t="s">
        <v>77</v>
      </c>
    </row>
    <row r="1385" spans="1:37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v>0</v>
      </c>
      <c r="AH1385">
        <v>0</v>
      </c>
      <c r="AI1385" t="s">
        <v>68</v>
      </c>
      <c r="AJ1385" t="s">
        <v>74</v>
      </c>
      <c r="AK1385" t="s">
        <v>70</v>
      </c>
    </row>
    <row r="1386" spans="1:37" x14ac:dyDescent="0.2">
      <c r="A1386">
        <v>34</v>
      </c>
      <c r="B1386" t="s">
        <v>43</v>
      </c>
      <c r="C1386" t="s">
        <v>67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v>0</v>
      </c>
      <c r="AH1386">
        <v>0</v>
      </c>
      <c r="AI1386" t="s">
        <v>76</v>
      </c>
      <c r="AJ1386" t="s">
        <v>79</v>
      </c>
      <c r="AK1386" t="s">
        <v>73</v>
      </c>
    </row>
    <row r="1387" spans="1:37" x14ac:dyDescent="0.2">
      <c r="A1387">
        <v>34</v>
      </c>
      <c r="B1387" t="s">
        <v>43</v>
      </c>
      <c r="C1387" t="s">
        <v>67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v>0</v>
      </c>
      <c r="AH1387">
        <v>0</v>
      </c>
      <c r="AI1387" t="s">
        <v>76</v>
      </c>
      <c r="AJ1387" t="s">
        <v>79</v>
      </c>
      <c r="AK1387" t="s">
        <v>70</v>
      </c>
    </row>
    <row r="1388" spans="1:37" x14ac:dyDescent="0.2">
      <c r="A1388">
        <v>26</v>
      </c>
      <c r="B1388" t="s">
        <v>43</v>
      </c>
      <c r="C1388" t="s">
        <v>67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v>0</v>
      </c>
      <c r="AH1388">
        <v>0</v>
      </c>
      <c r="AI1388" t="s">
        <v>76</v>
      </c>
      <c r="AJ1388" t="s">
        <v>74</v>
      </c>
      <c r="AK1388" t="s">
        <v>70</v>
      </c>
    </row>
    <row r="1389" spans="1:37" x14ac:dyDescent="0.2">
      <c r="A1389">
        <v>29</v>
      </c>
      <c r="B1389" t="s">
        <v>43</v>
      </c>
      <c r="C1389" t="s">
        <v>67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v>0</v>
      </c>
      <c r="AH1389">
        <v>0</v>
      </c>
      <c r="AI1389" t="s">
        <v>76</v>
      </c>
      <c r="AJ1389" t="s">
        <v>69</v>
      </c>
      <c r="AK1389" t="s">
        <v>70</v>
      </c>
    </row>
    <row r="1390" spans="1:37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v>0</v>
      </c>
      <c r="AH1390">
        <v>0</v>
      </c>
      <c r="AI1390" t="s">
        <v>76</v>
      </c>
      <c r="AJ1390" t="s">
        <v>79</v>
      </c>
      <c r="AK1390" t="s">
        <v>70</v>
      </c>
    </row>
    <row r="1391" spans="1:37" x14ac:dyDescent="0.2">
      <c r="A1391">
        <v>31</v>
      </c>
      <c r="B1391" t="s">
        <v>43</v>
      </c>
      <c r="C1391" t="s">
        <v>71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v>0</v>
      </c>
      <c r="AH1391">
        <v>0</v>
      </c>
      <c r="AI1391" t="s">
        <v>76</v>
      </c>
      <c r="AJ1391" t="s">
        <v>69</v>
      </c>
      <c r="AK1391" t="s">
        <v>73</v>
      </c>
    </row>
    <row r="1392" spans="1:37" x14ac:dyDescent="0.2">
      <c r="A1392">
        <v>28</v>
      </c>
      <c r="B1392" t="s">
        <v>35</v>
      </c>
      <c r="C1392" t="s">
        <v>67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v>1</v>
      </c>
      <c r="AH1392">
        <v>0</v>
      </c>
      <c r="AI1392" t="s">
        <v>76</v>
      </c>
      <c r="AJ1392" t="s">
        <v>74</v>
      </c>
      <c r="AK1392" t="s">
        <v>77</v>
      </c>
    </row>
    <row r="1393" spans="1:37" x14ac:dyDescent="0.2">
      <c r="A1393">
        <v>38</v>
      </c>
      <c r="B1393" t="s">
        <v>43</v>
      </c>
      <c r="C1393" t="s">
        <v>67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68</v>
      </c>
      <c r="AJ1393" t="s">
        <v>74</v>
      </c>
      <c r="AK1393" t="s">
        <v>75</v>
      </c>
    </row>
    <row r="1394" spans="1:37" x14ac:dyDescent="0.2">
      <c r="A1394">
        <v>35</v>
      </c>
      <c r="B1394" t="s">
        <v>43</v>
      </c>
      <c r="C1394" t="s">
        <v>67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v>0</v>
      </c>
      <c r="AH1394">
        <v>1</v>
      </c>
      <c r="AI1394" t="s">
        <v>68</v>
      </c>
      <c r="AJ1394" t="s">
        <v>69</v>
      </c>
      <c r="AK1394" t="s">
        <v>73</v>
      </c>
    </row>
    <row r="1395" spans="1:37" x14ac:dyDescent="0.2">
      <c r="A1395">
        <v>27</v>
      </c>
      <c r="B1395" t="s">
        <v>43</v>
      </c>
      <c r="C1395" t="s">
        <v>67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v>0</v>
      </c>
      <c r="AH1395">
        <v>0</v>
      </c>
      <c r="AI1395" t="s">
        <v>76</v>
      </c>
      <c r="AJ1395" t="s">
        <v>69</v>
      </c>
      <c r="AK1395" t="s">
        <v>70</v>
      </c>
    </row>
    <row r="1396" spans="1:37" x14ac:dyDescent="0.2">
      <c r="A1396">
        <v>32</v>
      </c>
      <c r="B1396" t="s">
        <v>43</v>
      </c>
      <c r="C1396" t="s">
        <v>67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76</v>
      </c>
      <c r="AJ1396" t="s">
        <v>79</v>
      </c>
      <c r="AK1396" t="s">
        <v>75</v>
      </c>
    </row>
    <row r="1397" spans="1:37" x14ac:dyDescent="0.2">
      <c r="A1397">
        <v>31</v>
      </c>
      <c r="B1397" t="s">
        <v>35</v>
      </c>
      <c r="C1397" t="s">
        <v>71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v>1</v>
      </c>
      <c r="AH1397">
        <v>1</v>
      </c>
      <c r="AI1397" t="s">
        <v>76</v>
      </c>
      <c r="AJ1397" t="s">
        <v>69</v>
      </c>
      <c r="AK1397" t="s">
        <v>73</v>
      </c>
    </row>
    <row r="1398" spans="1:37" x14ac:dyDescent="0.2">
      <c r="A1398">
        <v>53</v>
      </c>
      <c r="B1398" t="s">
        <v>35</v>
      </c>
      <c r="C1398" t="s">
        <v>67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1</v>
      </c>
      <c r="AH1398">
        <v>1</v>
      </c>
      <c r="AI1398" t="s">
        <v>72</v>
      </c>
      <c r="AJ1398" t="s">
        <v>81</v>
      </c>
      <c r="AK1398" t="s">
        <v>77</v>
      </c>
    </row>
    <row r="1399" spans="1:37" x14ac:dyDescent="0.2">
      <c r="A1399">
        <v>54</v>
      </c>
      <c r="B1399" t="s">
        <v>43</v>
      </c>
      <c r="C1399" t="s">
        <v>67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v>0</v>
      </c>
      <c r="AH1399">
        <v>0</v>
      </c>
      <c r="AI1399" t="s">
        <v>72</v>
      </c>
      <c r="AJ1399" t="s">
        <v>74</v>
      </c>
      <c r="AK1399" t="s">
        <v>77</v>
      </c>
    </row>
    <row r="1400" spans="1:37" x14ac:dyDescent="0.2">
      <c r="A1400">
        <v>33</v>
      </c>
      <c r="B1400" t="s">
        <v>43</v>
      </c>
      <c r="C1400" t="s">
        <v>71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v>0</v>
      </c>
      <c r="AH1400">
        <v>0</v>
      </c>
      <c r="AI1400" t="s">
        <v>76</v>
      </c>
      <c r="AJ1400" t="s">
        <v>69</v>
      </c>
      <c r="AK1400" t="s">
        <v>70</v>
      </c>
    </row>
    <row r="1401" spans="1:37" x14ac:dyDescent="0.2">
      <c r="A1401">
        <v>43</v>
      </c>
      <c r="B1401" t="s">
        <v>43</v>
      </c>
      <c r="C1401" t="s">
        <v>67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v>0</v>
      </c>
      <c r="AH1401">
        <v>0</v>
      </c>
      <c r="AI1401" t="s">
        <v>68</v>
      </c>
      <c r="AJ1401" t="s">
        <v>79</v>
      </c>
      <c r="AK1401" t="s">
        <v>73</v>
      </c>
    </row>
    <row r="1402" spans="1:37" x14ac:dyDescent="0.2">
      <c r="A1402">
        <v>38</v>
      </c>
      <c r="B1402" t="s">
        <v>43</v>
      </c>
      <c r="C1402" t="s">
        <v>71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v>0</v>
      </c>
      <c r="AH1402">
        <v>1</v>
      </c>
      <c r="AI1402" t="s">
        <v>68</v>
      </c>
      <c r="AJ1402" t="s">
        <v>74</v>
      </c>
      <c r="AK1402" t="s">
        <v>70</v>
      </c>
    </row>
    <row r="1403" spans="1:37" x14ac:dyDescent="0.2">
      <c r="A1403">
        <v>55</v>
      </c>
      <c r="B1403" t="s">
        <v>43</v>
      </c>
      <c r="C1403" t="s">
        <v>67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v>0</v>
      </c>
      <c r="AH1403">
        <v>1</v>
      </c>
      <c r="AI1403" t="s">
        <v>78</v>
      </c>
      <c r="AJ1403" t="s">
        <v>81</v>
      </c>
      <c r="AK1403" t="s">
        <v>73</v>
      </c>
    </row>
    <row r="1404" spans="1:37" x14ac:dyDescent="0.2">
      <c r="A1404">
        <v>31</v>
      </c>
      <c r="B1404" t="s">
        <v>43</v>
      </c>
      <c r="C1404" t="s">
        <v>67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 t="s">
        <v>76</v>
      </c>
      <c r="AJ1404" t="s">
        <v>74</v>
      </c>
      <c r="AK1404" t="s">
        <v>75</v>
      </c>
    </row>
    <row r="1405" spans="1:37" x14ac:dyDescent="0.2">
      <c r="A1405">
        <v>39</v>
      </c>
      <c r="B1405" t="s">
        <v>43</v>
      </c>
      <c r="C1405" t="s">
        <v>67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v>0</v>
      </c>
      <c r="AH1405">
        <v>0</v>
      </c>
      <c r="AI1405" t="s">
        <v>68</v>
      </c>
      <c r="AJ1405" t="s">
        <v>81</v>
      </c>
      <c r="AK1405" t="s">
        <v>73</v>
      </c>
    </row>
    <row r="1406" spans="1:37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v>0</v>
      </c>
      <c r="AH1406">
        <v>0</v>
      </c>
      <c r="AI1406" t="s">
        <v>68</v>
      </c>
      <c r="AJ1406" t="s">
        <v>69</v>
      </c>
      <c r="AK1406" t="s">
        <v>73</v>
      </c>
    </row>
    <row r="1407" spans="1:37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v>0</v>
      </c>
      <c r="AH1407">
        <v>0</v>
      </c>
      <c r="AI1407" t="s">
        <v>76</v>
      </c>
      <c r="AJ1407" t="s">
        <v>81</v>
      </c>
      <c r="AK1407" t="s">
        <v>73</v>
      </c>
    </row>
    <row r="1408" spans="1:37" x14ac:dyDescent="0.2">
      <c r="A1408">
        <v>54</v>
      </c>
      <c r="B1408" t="s">
        <v>43</v>
      </c>
      <c r="C1408" t="s">
        <v>67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v>0</v>
      </c>
      <c r="AH1408">
        <v>1</v>
      </c>
      <c r="AI1408" t="s">
        <v>72</v>
      </c>
      <c r="AJ1408" t="s">
        <v>69</v>
      </c>
      <c r="AK1408" t="s">
        <v>70</v>
      </c>
    </row>
    <row r="1409" spans="1:37" x14ac:dyDescent="0.2">
      <c r="A1409">
        <v>24</v>
      </c>
      <c r="B1409" t="s">
        <v>43</v>
      </c>
      <c r="C1409" t="s">
        <v>67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v>0</v>
      </c>
      <c r="AH1409">
        <v>0</v>
      </c>
      <c r="AI1409" t="s">
        <v>80</v>
      </c>
      <c r="AJ1409" t="s">
        <v>69</v>
      </c>
      <c r="AK1409" t="s">
        <v>77</v>
      </c>
    </row>
    <row r="1410" spans="1:37" x14ac:dyDescent="0.2">
      <c r="A1410">
        <v>23</v>
      </c>
      <c r="B1410" t="s">
        <v>43</v>
      </c>
      <c r="C1410" t="s">
        <v>67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v>0</v>
      </c>
      <c r="AH1410">
        <v>0</v>
      </c>
      <c r="AI1410" t="s">
        <v>80</v>
      </c>
      <c r="AJ1410" t="s">
        <v>74</v>
      </c>
      <c r="AK1410" t="s">
        <v>70</v>
      </c>
    </row>
    <row r="1411" spans="1:37" x14ac:dyDescent="0.2">
      <c r="A1411">
        <v>40</v>
      </c>
      <c r="B1411" t="s">
        <v>43</v>
      </c>
      <c r="C1411" t="s">
        <v>71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v>0</v>
      </c>
      <c r="AH1411">
        <v>0</v>
      </c>
      <c r="AI1411" t="s">
        <v>68</v>
      </c>
      <c r="AJ1411" t="s">
        <v>79</v>
      </c>
      <c r="AK1411" t="s">
        <v>73</v>
      </c>
    </row>
    <row r="1412" spans="1:37" x14ac:dyDescent="0.2">
      <c r="A1412">
        <v>40</v>
      </c>
      <c r="B1412" t="s">
        <v>43</v>
      </c>
      <c r="C1412" t="s">
        <v>67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v>0</v>
      </c>
      <c r="AH1412">
        <v>0</v>
      </c>
      <c r="AI1412" t="s">
        <v>68</v>
      </c>
      <c r="AJ1412" t="s">
        <v>69</v>
      </c>
      <c r="AK1412" t="s">
        <v>73</v>
      </c>
    </row>
    <row r="1413" spans="1:37" x14ac:dyDescent="0.2">
      <c r="A1413">
        <v>25</v>
      </c>
      <c r="B1413" t="s">
        <v>43</v>
      </c>
      <c r="C1413" t="s">
        <v>67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v>0</v>
      </c>
      <c r="AH1413">
        <v>0</v>
      </c>
      <c r="AI1413" t="s">
        <v>76</v>
      </c>
      <c r="AJ1413" t="s">
        <v>74</v>
      </c>
      <c r="AK1413" t="s">
        <v>77</v>
      </c>
    </row>
    <row r="1414" spans="1:37" x14ac:dyDescent="0.2">
      <c r="A1414">
        <v>30</v>
      </c>
      <c r="B1414" t="s">
        <v>43</v>
      </c>
      <c r="C1414" t="s">
        <v>67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v>0</v>
      </c>
      <c r="AH1414">
        <v>0</v>
      </c>
      <c r="AI1414" t="s">
        <v>76</v>
      </c>
      <c r="AJ1414" t="s">
        <v>69</v>
      </c>
      <c r="AK1414" t="s">
        <v>73</v>
      </c>
    </row>
    <row r="1415" spans="1:37" x14ac:dyDescent="0.2">
      <c r="A1415">
        <v>25</v>
      </c>
      <c r="B1415" t="s">
        <v>43</v>
      </c>
      <c r="C1415" t="s">
        <v>67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v>0</v>
      </c>
      <c r="AH1415">
        <v>1</v>
      </c>
      <c r="AI1415" t="s">
        <v>76</v>
      </c>
      <c r="AJ1415" t="s">
        <v>69</v>
      </c>
      <c r="AK1415" t="s">
        <v>77</v>
      </c>
    </row>
    <row r="1416" spans="1:37" x14ac:dyDescent="0.2">
      <c r="A1416">
        <v>47</v>
      </c>
      <c r="B1416" t="s">
        <v>43</v>
      </c>
      <c r="C1416" t="s">
        <v>67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v>0</v>
      </c>
      <c r="AH1416">
        <v>0</v>
      </c>
      <c r="AI1416" t="s">
        <v>72</v>
      </c>
      <c r="AJ1416" t="s">
        <v>79</v>
      </c>
      <c r="AK1416" t="s">
        <v>73</v>
      </c>
    </row>
    <row r="1417" spans="1:37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 t="s">
        <v>76</v>
      </c>
      <c r="AJ1417" t="s">
        <v>74</v>
      </c>
      <c r="AK1417" t="s">
        <v>75</v>
      </c>
    </row>
    <row r="1418" spans="1:37" x14ac:dyDescent="0.2">
      <c r="A1418">
        <v>38</v>
      </c>
      <c r="B1418" t="s">
        <v>43</v>
      </c>
      <c r="C1418" t="s">
        <v>67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v>0</v>
      </c>
      <c r="AH1418">
        <v>0</v>
      </c>
      <c r="AI1418" t="s">
        <v>68</v>
      </c>
      <c r="AJ1418" t="s">
        <v>69</v>
      </c>
      <c r="AK1418" t="s">
        <v>73</v>
      </c>
    </row>
    <row r="1419" spans="1:37" x14ac:dyDescent="0.2">
      <c r="A1419">
        <v>31</v>
      </c>
      <c r="B1419" t="s">
        <v>43</v>
      </c>
      <c r="C1419" t="s">
        <v>67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v>0</v>
      </c>
      <c r="AH1419">
        <v>0</v>
      </c>
      <c r="AI1419" t="s">
        <v>76</v>
      </c>
      <c r="AJ1419" t="s">
        <v>69</v>
      </c>
      <c r="AK1419" t="s">
        <v>77</v>
      </c>
    </row>
    <row r="1420" spans="1:37" x14ac:dyDescent="0.2">
      <c r="A1420">
        <v>38</v>
      </c>
      <c r="B1420" t="s">
        <v>43</v>
      </c>
      <c r="C1420" t="s">
        <v>71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v>0</v>
      </c>
      <c r="AH1420">
        <v>0</v>
      </c>
      <c r="AI1420" t="s">
        <v>68</v>
      </c>
      <c r="AJ1420" t="s">
        <v>69</v>
      </c>
      <c r="AK1420" t="s">
        <v>70</v>
      </c>
    </row>
    <row r="1421" spans="1:37" x14ac:dyDescent="0.2">
      <c r="A1421">
        <v>42</v>
      </c>
      <c r="B1421" t="s">
        <v>43</v>
      </c>
      <c r="C1421" t="s">
        <v>67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v>0</v>
      </c>
      <c r="AH1421">
        <v>1</v>
      </c>
      <c r="AI1421" t="s">
        <v>68</v>
      </c>
      <c r="AJ1421" t="s">
        <v>69</v>
      </c>
      <c r="AK1421" t="s">
        <v>77</v>
      </c>
    </row>
    <row r="1422" spans="1:37" x14ac:dyDescent="0.2">
      <c r="A1422">
        <v>41</v>
      </c>
      <c r="B1422" t="s">
        <v>43</v>
      </c>
      <c r="C1422" t="s">
        <v>67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v>0</v>
      </c>
      <c r="AH1422">
        <v>0</v>
      </c>
      <c r="AI1422" t="s">
        <v>68</v>
      </c>
      <c r="AJ1422" t="s">
        <v>74</v>
      </c>
      <c r="AK1422" t="s">
        <v>70</v>
      </c>
    </row>
    <row r="1423" spans="1:37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v>0</v>
      </c>
      <c r="AH1423">
        <v>0</v>
      </c>
      <c r="AI1423" t="s">
        <v>72</v>
      </c>
      <c r="AJ1423" t="s">
        <v>81</v>
      </c>
      <c r="AK1423" t="s">
        <v>73</v>
      </c>
    </row>
    <row r="1424" spans="1:37" x14ac:dyDescent="0.2">
      <c r="A1424">
        <v>35</v>
      </c>
      <c r="B1424" t="s">
        <v>43</v>
      </c>
      <c r="C1424" t="s">
        <v>67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v>0</v>
      </c>
      <c r="AH1424">
        <v>1</v>
      </c>
      <c r="AI1424" t="s">
        <v>68</v>
      </c>
      <c r="AJ1424" t="s">
        <v>74</v>
      </c>
      <c r="AK1424" t="s">
        <v>77</v>
      </c>
    </row>
    <row r="1425" spans="1:37" x14ac:dyDescent="0.2">
      <c r="A1425">
        <v>22</v>
      </c>
      <c r="B1425" t="s">
        <v>43</v>
      </c>
      <c r="C1425" t="s">
        <v>67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v>0</v>
      </c>
      <c r="AH1425">
        <v>0</v>
      </c>
      <c r="AI1425" t="s">
        <v>80</v>
      </c>
      <c r="AJ1425" t="s">
        <v>69</v>
      </c>
      <c r="AK1425" t="s">
        <v>77</v>
      </c>
    </row>
    <row r="1426" spans="1:37" x14ac:dyDescent="0.2">
      <c r="A1426">
        <v>35</v>
      </c>
      <c r="B1426" t="s">
        <v>43</v>
      </c>
      <c r="C1426" t="s">
        <v>67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v>0</v>
      </c>
      <c r="AH1426">
        <v>0</v>
      </c>
      <c r="AI1426" t="s">
        <v>68</v>
      </c>
      <c r="AJ1426" t="s">
        <v>69</v>
      </c>
      <c r="AK1426" t="s">
        <v>73</v>
      </c>
    </row>
    <row r="1427" spans="1:37" x14ac:dyDescent="0.2">
      <c r="A1427">
        <v>33</v>
      </c>
      <c r="B1427" t="s">
        <v>43</v>
      </c>
      <c r="C1427" t="s">
        <v>67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v>0</v>
      </c>
      <c r="AH1427">
        <v>1</v>
      </c>
      <c r="AI1427" t="s">
        <v>76</v>
      </c>
      <c r="AJ1427" t="s">
        <v>69</v>
      </c>
      <c r="AK1427" t="s">
        <v>70</v>
      </c>
    </row>
    <row r="1428" spans="1:37" x14ac:dyDescent="0.2">
      <c r="A1428">
        <v>32</v>
      </c>
      <c r="B1428" t="s">
        <v>43</v>
      </c>
      <c r="C1428" t="s">
        <v>67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v>0</v>
      </c>
      <c r="AH1428">
        <v>0</v>
      </c>
      <c r="AI1428" t="s">
        <v>76</v>
      </c>
      <c r="AJ1428" t="s">
        <v>74</v>
      </c>
      <c r="AK1428" t="s">
        <v>70</v>
      </c>
    </row>
    <row r="1429" spans="1:37" x14ac:dyDescent="0.2">
      <c r="A1429">
        <v>40</v>
      </c>
      <c r="B1429" t="s">
        <v>43</v>
      </c>
      <c r="C1429" t="s">
        <v>67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68</v>
      </c>
      <c r="AJ1429" t="s">
        <v>74</v>
      </c>
      <c r="AK1429" t="s">
        <v>75</v>
      </c>
    </row>
    <row r="1430" spans="1:37" x14ac:dyDescent="0.2">
      <c r="A1430">
        <v>32</v>
      </c>
      <c r="B1430" t="s">
        <v>43</v>
      </c>
      <c r="C1430" t="s">
        <v>67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v>0</v>
      </c>
      <c r="AH1430">
        <v>0</v>
      </c>
      <c r="AI1430" t="s">
        <v>76</v>
      </c>
      <c r="AJ1430" t="s">
        <v>74</v>
      </c>
      <c r="AK1430" t="s">
        <v>77</v>
      </c>
    </row>
    <row r="1431" spans="1:37" x14ac:dyDescent="0.2">
      <c r="A1431">
        <v>39</v>
      </c>
      <c r="B1431" t="s">
        <v>43</v>
      </c>
      <c r="C1431" t="s">
        <v>67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v>0</v>
      </c>
      <c r="AH1431">
        <v>0</v>
      </c>
      <c r="AI1431" t="s">
        <v>68</v>
      </c>
      <c r="AJ1431" t="s">
        <v>69</v>
      </c>
      <c r="AK1431" t="s">
        <v>70</v>
      </c>
    </row>
    <row r="1432" spans="1:37" x14ac:dyDescent="0.2">
      <c r="A1432">
        <v>38</v>
      </c>
      <c r="B1432" t="s">
        <v>43</v>
      </c>
      <c r="C1432" t="s">
        <v>67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v>0</v>
      </c>
      <c r="AH1432">
        <v>0</v>
      </c>
      <c r="AI1432" t="s">
        <v>68</v>
      </c>
      <c r="AJ1432" t="s">
        <v>81</v>
      </c>
      <c r="AK1432" t="s">
        <v>73</v>
      </c>
    </row>
    <row r="1433" spans="1:37" x14ac:dyDescent="0.2">
      <c r="A1433">
        <v>32</v>
      </c>
      <c r="B1433" t="s">
        <v>43</v>
      </c>
      <c r="C1433" t="s">
        <v>67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v>0</v>
      </c>
      <c r="AH1433">
        <v>0</v>
      </c>
      <c r="AI1433" t="s">
        <v>76</v>
      </c>
      <c r="AJ1433" t="s">
        <v>81</v>
      </c>
      <c r="AK1433" t="s">
        <v>73</v>
      </c>
    </row>
    <row r="1434" spans="1:37" x14ac:dyDescent="0.2">
      <c r="A1434">
        <v>37</v>
      </c>
      <c r="B1434" t="s">
        <v>43</v>
      </c>
      <c r="C1434" t="s">
        <v>67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v>0</v>
      </c>
      <c r="AH1434">
        <v>1</v>
      </c>
      <c r="AI1434" t="s">
        <v>68</v>
      </c>
      <c r="AJ1434" t="s">
        <v>81</v>
      </c>
      <c r="AK1434" t="s">
        <v>73</v>
      </c>
    </row>
    <row r="1435" spans="1:37" x14ac:dyDescent="0.2">
      <c r="A1435">
        <v>25</v>
      </c>
      <c r="B1435" t="s">
        <v>43</v>
      </c>
      <c r="C1435" t="s">
        <v>67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v>0</v>
      </c>
      <c r="AH1435">
        <v>1</v>
      </c>
      <c r="AI1435" t="s">
        <v>76</v>
      </c>
      <c r="AJ1435" t="s">
        <v>69</v>
      </c>
      <c r="AK1435" t="s">
        <v>70</v>
      </c>
    </row>
    <row r="1436" spans="1:37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v>0</v>
      </c>
      <c r="AH1436">
        <v>0</v>
      </c>
      <c r="AI1436" t="s">
        <v>72</v>
      </c>
      <c r="AJ1436" t="s">
        <v>69</v>
      </c>
      <c r="AK1436" t="s">
        <v>70</v>
      </c>
    </row>
    <row r="1437" spans="1:37" x14ac:dyDescent="0.2">
      <c r="A1437">
        <v>44</v>
      </c>
      <c r="B1437" t="s">
        <v>43</v>
      </c>
      <c r="C1437" t="s">
        <v>67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v>0</v>
      </c>
      <c r="AH1437">
        <v>1</v>
      </c>
      <c r="AI1437" t="s">
        <v>68</v>
      </c>
      <c r="AJ1437" t="s">
        <v>74</v>
      </c>
      <c r="AK1437" t="s">
        <v>77</v>
      </c>
    </row>
    <row r="1438" spans="1:37" x14ac:dyDescent="0.2">
      <c r="A1438">
        <v>21</v>
      </c>
      <c r="B1438" t="s">
        <v>43</v>
      </c>
      <c r="C1438" t="s">
        <v>67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v>0</v>
      </c>
      <c r="AH1438">
        <v>1</v>
      </c>
      <c r="AI1438" t="s">
        <v>80</v>
      </c>
      <c r="AJ1438" t="s">
        <v>74</v>
      </c>
      <c r="AK1438" t="s">
        <v>77</v>
      </c>
    </row>
    <row r="1439" spans="1:37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v>0</v>
      </c>
      <c r="AH1439">
        <v>0</v>
      </c>
      <c r="AI1439" t="s">
        <v>68</v>
      </c>
      <c r="AJ1439" t="s">
        <v>81</v>
      </c>
      <c r="AK1439" t="s">
        <v>70</v>
      </c>
    </row>
    <row r="1440" spans="1:37" x14ac:dyDescent="0.2">
      <c r="A1440">
        <v>23</v>
      </c>
      <c r="B1440" t="s">
        <v>35</v>
      </c>
      <c r="C1440" t="s">
        <v>71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v>1</v>
      </c>
      <c r="AH1440">
        <v>0</v>
      </c>
      <c r="AI1440" t="s">
        <v>80</v>
      </c>
      <c r="AJ1440" t="s">
        <v>74</v>
      </c>
      <c r="AK1440" t="s">
        <v>75</v>
      </c>
    </row>
    <row r="1441" spans="1:37" x14ac:dyDescent="0.2">
      <c r="A1441">
        <v>36</v>
      </c>
      <c r="B1441" t="s">
        <v>43</v>
      </c>
      <c r="C1441" t="s">
        <v>67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v>0</v>
      </c>
      <c r="AH1441">
        <v>0</v>
      </c>
      <c r="AI1441" t="s">
        <v>68</v>
      </c>
      <c r="AJ1441" t="s">
        <v>79</v>
      </c>
      <c r="AK1441" t="s">
        <v>70</v>
      </c>
    </row>
    <row r="1442" spans="1:37" x14ac:dyDescent="0.2">
      <c r="A1442">
        <v>36</v>
      </c>
      <c r="B1442" t="s">
        <v>43</v>
      </c>
      <c r="C1442" t="s">
        <v>71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v>0</v>
      </c>
      <c r="AH1442">
        <v>0</v>
      </c>
      <c r="AI1442" t="s">
        <v>68</v>
      </c>
      <c r="AJ1442" t="s">
        <v>69</v>
      </c>
      <c r="AK1442" t="s">
        <v>77</v>
      </c>
    </row>
    <row r="1443" spans="1:37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v>0</v>
      </c>
      <c r="AH1443">
        <v>0</v>
      </c>
      <c r="AI1443" t="s">
        <v>78</v>
      </c>
      <c r="AJ1443" t="s">
        <v>79</v>
      </c>
      <c r="AK1443" t="s">
        <v>73</v>
      </c>
    </row>
    <row r="1444" spans="1:37" x14ac:dyDescent="0.2">
      <c r="A1444">
        <v>29</v>
      </c>
      <c r="B1444" t="s">
        <v>35</v>
      </c>
      <c r="C1444" t="s">
        <v>67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v>1</v>
      </c>
      <c r="AH1444">
        <v>1</v>
      </c>
      <c r="AI1444" t="s">
        <v>76</v>
      </c>
      <c r="AJ1444" t="s">
        <v>69</v>
      </c>
      <c r="AK1444" t="s">
        <v>77</v>
      </c>
    </row>
    <row r="1445" spans="1:37" x14ac:dyDescent="0.2">
      <c r="A1445">
        <v>42</v>
      </c>
      <c r="B1445" t="s">
        <v>43</v>
      </c>
      <c r="C1445" t="s">
        <v>67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v>0</v>
      </c>
      <c r="AH1445">
        <v>0</v>
      </c>
      <c r="AI1445" t="s">
        <v>68</v>
      </c>
      <c r="AJ1445" t="s">
        <v>81</v>
      </c>
      <c r="AK1445" t="s">
        <v>73</v>
      </c>
    </row>
    <row r="1446" spans="1:37" x14ac:dyDescent="0.2">
      <c r="A1446">
        <v>56</v>
      </c>
      <c r="B1446" t="s">
        <v>35</v>
      </c>
      <c r="C1446" t="s">
        <v>67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v>1</v>
      </c>
      <c r="AH1446">
        <v>0</v>
      </c>
      <c r="AI1446" t="s">
        <v>78</v>
      </c>
      <c r="AJ1446" t="s">
        <v>74</v>
      </c>
      <c r="AK1446" t="s">
        <v>73</v>
      </c>
    </row>
    <row r="1447" spans="1:37" x14ac:dyDescent="0.2">
      <c r="A1447">
        <v>41</v>
      </c>
      <c r="B1447" t="s">
        <v>43</v>
      </c>
      <c r="C1447" t="s">
        <v>67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v>0</v>
      </c>
      <c r="AH1447">
        <v>0</v>
      </c>
      <c r="AI1447" t="s">
        <v>68</v>
      </c>
      <c r="AJ1447" t="s">
        <v>81</v>
      </c>
      <c r="AK1447" t="s">
        <v>73</v>
      </c>
    </row>
    <row r="1448" spans="1:37" x14ac:dyDescent="0.2">
      <c r="A1448">
        <v>34</v>
      </c>
      <c r="B1448" t="s">
        <v>43</v>
      </c>
      <c r="C1448" t="s">
        <v>67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v>0</v>
      </c>
      <c r="AH1448">
        <v>0</v>
      </c>
      <c r="AI1448" t="s">
        <v>76</v>
      </c>
      <c r="AJ1448" t="s">
        <v>79</v>
      </c>
      <c r="AK1448" t="s">
        <v>70</v>
      </c>
    </row>
    <row r="1449" spans="1:37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v>0</v>
      </c>
      <c r="AH1449">
        <v>0</v>
      </c>
      <c r="AI1449" t="s">
        <v>68</v>
      </c>
      <c r="AJ1449" t="s">
        <v>69</v>
      </c>
      <c r="AK1449" t="s">
        <v>73</v>
      </c>
    </row>
    <row r="1450" spans="1:37" x14ac:dyDescent="0.2">
      <c r="A1450">
        <v>41</v>
      </c>
      <c r="B1450" t="s">
        <v>43</v>
      </c>
      <c r="C1450" t="s">
        <v>67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v>0</v>
      </c>
      <c r="AH1450">
        <v>0</v>
      </c>
      <c r="AI1450" t="s">
        <v>68</v>
      </c>
      <c r="AJ1450" t="s">
        <v>79</v>
      </c>
      <c r="AK1450" t="s">
        <v>70</v>
      </c>
    </row>
    <row r="1451" spans="1:37" x14ac:dyDescent="0.2">
      <c r="A1451">
        <v>32</v>
      </c>
      <c r="B1451" t="s">
        <v>43</v>
      </c>
      <c r="C1451" t="s">
        <v>67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v>0</v>
      </c>
      <c r="AH1451">
        <v>0</v>
      </c>
      <c r="AI1451" t="s">
        <v>76</v>
      </c>
      <c r="AJ1451" t="s">
        <v>74</v>
      </c>
      <c r="AK1451" t="s">
        <v>77</v>
      </c>
    </row>
    <row r="1452" spans="1:37" x14ac:dyDescent="0.2">
      <c r="A1452">
        <v>35</v>
      </c>
      <c r="B1452" t="s">
        <v>43</v>
      </c>
      <c r="C1452" t="s">
        <v>67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v>0</v>
      </c>
      <c r="AH1452">
        <v>1</v>
      </c>
      <c r="AI1452" t="s">
        <v>68</v>
      </c>
      <c r="AJ1452" t="s">
        <v>79</v>
      </c>
      <c r="AK1452" t="s">
        <v>70</v>
      </c>
    </row>
    <row r="1453" spans="1:37" x14ac:dyDescent="0.2">
      <c r="A1453">
        <v>38</v>
      </c>
      <c r="B1453" t="s">
        <v>43</v>
      </c>
      <c r="C1453" t="s">
        <v>67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v>0</v>
      </c>
      <c r="AH1453">
        <v>0</v>
      </c>
      <c r="AI1453" t="s">
        <v>68</v>
      </c>
      <c r="AJ1453" t="s">
        <v>69</v>
      </c>
      <c r="AK1453" t="s">
        <v>73</v>
      </c>
    </row>
    <row r="1454" spans="1:37" x14ac:dyDescent="0.2">
      <c r="A1454">
        <v>50</v>
      </c>
      <c r="B1454" t="s">
        <v>35</v>
      </c>
      <c r="C1454" t="s">
        <v>71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v>1</v>
      </c>
      <c r="AH1454">
        <v>0</v>
      </c>
      <c r="AI1454" t="s">
        <v>72</v>
      </c>
      <c r="AJ1454" t="s">
        <v>79</v>
      </c>
      <c r="AK1454" t="s">
        <v>70</v>
      </c>
    </row>
    <row r="1455" spans="1:37" x14ac:dyDescent="0.2">
      <c r="A1455">
        <v>36</v>
      </c>
      <c r="B1455" t="s">
        <v>43</v>
      </c>
      <c r="C1455" t="s">
        <v>67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v>0</v>
      </c>
      <c r="AH1455">
        <v>0</v>
      </c>
      <c r="AI1455" t="s">
        <v>68</v>
      </c>
      <c r="AJ1455" t="s">
        <v>79</v>
      </c>
      <c r="AK1455" t="s">
        <v>70</v>
      </c>
    </row>
    <row r="1456" spans="1:37" x14ac:dyDescent="0.2">
      <c r="A1456">
        <v>45</v>
      </c>
      <c r="B1456" t="s">
        <v>43</v>
      </c>
      <c r="C1456" t="s">
        <v>67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v>0</v>
      </c>
      <c r="AH1456">
        <v>0</v>
      </c>
      <c r="AI1456" t="s">
        <v>72</v>
      </c>
      <c r="AJ1456" t="s">
        <v>69</v>
      </c>
      <c r="AK1456" t="s">
        <v>70</v>
      </c>
    </row>
    <row r="1457" spans="1:37" x14ac:dyDescent="0.2">
      <c r="A1457">
        <v>40</v>
      </c>
      <c r="B1457" t="s">
        <v>43</v>
      </c>
      <c r="C1457" t="s">
        <v>67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v>0</v>
      </c>
      <c r="AH1457">
        <v>0</v>
      </c>
      <c r="AI1457" t="s">
        <v>68</v>
      </c>
      <c r="AJ1457" t="s">
        <v>74</v>
      </c>
      <c r="AK1457" t="s">
        <v>77</v>
      </c>
    </row>
    <row r="1458" spans="1:37" x14ac:dyDescent="0.2">
      <c r="A1458">
        <v>35</v>
      </c>
      <c r="B1458" t="s">
        <v>43</v>
      </c>
      <c r="C1458" t="s">
        <v>71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v>0</v>
      </c>
      <c r="AH1458">
        <v>1</v>
      </c>
      <c r="AI1458" t="s">
        <v>68</v>
      </c>
      <c r="AJ1458" t="s">
        <v>69</v>
      </c>
      <c r="AK1458" t="s">
        <v>73</v>
      </c>
    </row>
    <row r="1459" spans="1:37" x14ac:dyDescent="0.2">
      <c r="A1459">
        <v>40</v>
      </c>
      <c r="B1459" t="s">
        <v>43</v>
      </c>
      <c r="C1459" t="s">
        <v>67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v>0</v>
      </c>
      <c r="AH1459">
        <v>0</v>
      </c>
      <c r="AI1459" t="s">
        <v>68</v>
      </c>
      <c r="AJ1459" t="s">
        <v>74</v>
      </c>
      <c r="AK1459" t="s">
        <v>70</v>
      </c>
    </row>
    <row r="1460" spans="1:37" x14ac:dyDescent="0.2">
      <c r="A1460">
        <v>35</v>
      </c>
      <c r="B1460" t="s">
        <v>43</v>
      </c>
      <c r="C1460" t="s">
        <v>67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v>0</v>
      </c>
      <c r="AH1460">
        <v>0</v>
      </c>
      <c r="AI1460" t="s">
        <v>68</v>
      </c>
      <c r="AJ1460" t="s">
        <v>74</v>
      </c>
      <c r="AK1460" t="s">
        <v>77</v>
      </c>
    </row>
    <row r="1461" spans="1:37" x14ac:dyDescent="0.2">
      <c r="A1461">
        <v>29</v>
      </c>
      <c r="B1461" t="s">
        <v>43</v>
      </c>
      <c r="C1461" t="s">
        <v>67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v>0</v>
      </c>
      <c r="AH1461">
        <v>1</v>
      </c>
      <c r="AI1461" t="s">
        <v>76</v>
      </c>
      <c r="AJ1461" t="s">
        <v>69</v>
      </c>
      <c r="AK1461" t="s">
        <v>77</v>
      </c>
    </row>
    <row r="1462" spans="1:37" x14ac:dyDescent="0.2">
      <c r="A1462">
        <v>29</v>
      </c>
      <c r="B1462" t="s">
        <v>43</v>
      </c>
      <c r="C1462" t="s">
        <v>67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v>0</v>
      </c>
      <c r="AH1462">
        <v>0</v>
      </c>
      <c r="AI1462" t="s">
        <v>76</v>
      </c>
      <c r="AJ1462" t="s">
        <v>69</v>
      </c>
      <c r="AK1462" t="s">
        <v>70</v>
      </c>
    </row>
    <row r="1463" spans="1:37" x14ac:dyDescent="0.2">
      <c r="A1463">
        <v>50</v>
      </c>
      <c r="B1463" t="s">
        <v>35</v>
      </c>
      <c r="C1463" t="s">
        <v>67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v>1</v>
      </c>
      <c r="AH1463">
        <v>1</v>
      </c>
      <c r="AI1463" t="s">
        <v>72</v>
      </c>
      <c r="AJ1463" t="s">
        <v>81</v>
      </c>
      <c r="AK1463" t="s">
        <v>77</v>
      </c>
    </row>
    <row r="1464" spans="1:37" x14ac:dyDescent="0.2">
      <c r="A1464">
        <v>39</v>
      </c>
      <c r="B1464" t="s">
        <v>43</v>
      </c>
      <c r="C1464" t="s">
        <v>67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v>0</v>
      </c>
      <c r="AH1464">
        <v>0</v>
      </c>
      <c r="AI1464" t="s">
        <v>68</v>
      </c>
      <c r="AJ1464" t="s">
        <v>81</v>
      </c>
      <c r="AK1464" t="s">
        <v>73</v>
      </c>
    </row>
    <row r="1465" spans="1:37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v>0</v>
      </c>
      <c r="AH1465">
        <v>0</v>
      </c>
      <c r="AI1465" t="s">
        <v>76</v>
      </c>
      <c r="AJ1465" t="s">
        <v>79</v>
      </c>
      <c r="AK1465" t="s">
        <v>70</v>
      </c>
    </row>
    <row r="1466" spans="1:37" x14ac:dyDescent="0.2">
      <c r="A1466">
        <v>26</v>
      </c>
      <c r="B1466" t="s">
        <v>43</v>
      </c>
      <c r="C1466" t="s">
        <v>67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v>0</v>
      </c>
      <c r="AH1466">
        <v>0</v>
      </c>
      <c r="AI1466" t="s">
        <v>76</v>
      </c>
      <c r="AJ1466" t="s">
        <v>74</v>
      </c>
      <c r="AK1466" t="s">
        <v>77</v>
      </c>
    </row>
    <row r="1467" spans="1:37" x14ac:dyDescent="0.2">
      <c r="A1467">
        <v>36</v>
      </c>
      <c r="B1467" t="s">
        <v>43</v>
      </c>
      <c r="C1467" t="s">
        <v>71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v>0</v>
      </c>
      <c r="AH1467">
        <v>0</v>
      </c>
      <c r="AI1467" t="s">
        <v>68</v>
      </c>
      <c r="AJ1467" t="s">
        <v>74</v>
      </c>
      <c r="AK1467" t="s">
        <v>70</v>
      </c>
    </row>
    <row r="1468" spans="1:37" x14ac:dyDescent="0.2">
      <c r="A1468">
        <v>39</v>
      </c>
      <c r="B1468" t="s">
        <v>43</v>
      </c>
      <c r="C1468" t="s">
        <v>67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v>0</v>
      </c>
      <c r="AH1468">
        <v>0</v>
      </c>
      <c r="AI1468" t="s">
        <v>68</v>
      </c>
      <c r="AJ1468" t="s">
        <v>79</v>
      </c>
      <c r="AK1468" t="s">
        <v>70</v>
      </c>
    </row>
    <row r="1469" spans="1:37" x14ac:dyDescent="0.2">
      <c r="A1469">
        <v>27</v>
      </c>
      <c r="B1469" t="s">
        <v>43</v>
      </c>
      <c r="C1469" t="s">
        <v>67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v>0</v>
      </c>
      <c r="AH1469">
        <v>1</v>
      </c>
      <c r="AI1469" t="s">
        <v>76</v>
      </c>
      <c r="AJ1469" t="s">
        <v>79</v>
      </c>
      <c r="AK1469" t="s">
        <v>70</v>
      </c>
    </row>
    <row r="1470" spans="1:37" x14ac:dyDescent="0.2">
      <c r="A1470">
        <v>49</v>
      </c>
      <c r="B1470" t="s">
        <v>43</v>
      </c>
      <c r="C1470" t="s">
        <v>71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v>0</v>
      </c>
      <c r="AH1470">
        <v>0</v>
      </c>
      <c r="AI1470" t="s">
        <v>72</v>
      </c>
      <c r="AJ1470" t="s">
        <v>69</v>
      </c>
      <c r="AK1470" t="s">
        <v>70</v>
      </c>
    </row>
    <row r="1471" spans="1:37" x14ac:dyDescent="0.2">
      <c r="A1471">
        <v>34</v>
      </c>
      <c r="B1471" t="s">
        <v>43</v>
      </c>
      <c r="C1471" t="s">
        <v>67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v>0</v>
      </c>
      <c r="AH1471">
        <v>0</v>
      </c>
      <c r="AI1471" t="s">
        <v>76</v>
      </c>
      <c r="AJ1471" t="s">
        <v>69</v>
      </c>
      <c r="AK1471" t="s">
        <v>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BE72-4EF6-334D-BF96-76870B136470}">
  <dimension ref="A1:E14"/>
  <sheetViews>
    <sheetView workbookViewId="0"/>
  </sheetViews>
  <sheetFormatPr baseColWidth="10" defaultRowHeight="16" x14ac:dyDescent="0.2"/>
  <sheetData>
    <row r="1" spans="1:5" x14ac:dyDescent="0.2">
      <c r="A1" t="s">
        <v>82</v>
      </c>
    </row>
    <row r="2" spans="1:5" x14ac:dyDescent="0.2">
      <c r="A2" t="s">
        <v>83</v>
      </c>
      <c r="B2" t="s">
        <v>84</v>
      </c>
      <c r="D2" t="s">
        <v>101</v>
      </c>
      <c r="E2" t="s">
        <v>102</v>
      </c>
    </row>
    <row r="3" spans="1:5" x14ac:dyDescent="0.2">
      <c r="A3" t="s">
        <v>85</v>
      </c>
      <c r="B3">
        <v>1470</v>
      </c>
      <c r="D3" t="s">
        <v>6</v>
      </c>
      <c r="E3" t="s">
        <v>103</v>
      </c>
    </row>
    <row r="4" spans="1:5" x14ac:dyDescent="0.2">
      <c r="A4" t="s">
        <v>86</v>
      </c>
      <c r="B4">
        <v>35</v>
      </c>
      <c r="D4" t="s">
        <v>10</v>
      </c>
      <c r="E4" t="s">
        <v>104</v>
      </c>
    </row>
    <row r="5" spans="1:5" x14ac:dyDescent="0.2">
      <c r="A5" t="s">
        <v>87</v>
      </c>
      <c r="B5">
        <v>37</v>
      </c>
      <c r="D5" t="s">
        <v>13</v>
      </c>
      <c r="E5" t="s">
        <v>104</v>
      </c>
    </row>
    <row r="6" spans="1:5" x14ac:dyDescent="0.2">
      <c r="A6" t="s">
        <v>88</v>
      </c>
      <c r="B6">
        <v>0</v>
      </c>
      <c r="D6" t="s">
        <v>16</v>
      </c>
      <c r="E6" t="s">
        <v>104</v>
      </c>
    </row>
    <row r="7" spans="1:5" x14ac:dyDescent="0.2">
      <c r="A7" t="s">
        <v>89</v>
      </c>
      <c r="B7">
        <v>0</v>
      </c>
      <c r="D7" t="s">
        <v>24</v>
      </c>
      <c r="E7" t="s">
        <v>105</v>
      </c>
    </row>
    <row r="8" spans="1:5" x14ac:dyDescent="0.2">
      <c r="A8" t="s">
        <v>90</v>
      </c>
      <c r="B8">
        <v>0</v>
      </c>
      <c r="D8" t="s">
        <v>25</v>
      </c>
      <c r="E8" t="s">
        <v>104</v>
      </c>
    </row>
    <row r="9" spans="1:5" x14ac:dyDescent="0.2">
      <c r="A9" t="s">
        <v>91</v>
      </c>
      <c r="B9">
        <v>0</v>
      </c>
      <c r="D9" t="s">
        <v>30</v>
      </c>
      <c r="E9" t="s">
        <v>106</v>
      </c>
    </row>
    <row r="10" spans="1:5" x14ac:dyDescent="0.2">
      <c r="A10" t="s">
        <v>92</v>
      </c>
      <c r="B10">
        <v>0</v>
      </c>
      <c r="D10" t="s">
        <v>27</v>
      </c>
      <c r="E10" t="s">
        <v>107</v>
      </c>
    </row>
    <row r="11" spans="1:5" x14ac:dyDescent="0.2">
      <c r="A11" t="s">
        <v>93</v>
      </c>
      <c r="B11" t="s">
        <v>94</v>
      </c>
    </row>
    <row r="12" spans="1:5" x14ac:dyDescent="0.2">
      <c r="A12" t="s">
        <v>95</v>
      </c>
      <c r="B12" t="s">
        <v>96</v>
      </c>
    </row>
    <row r="13" spans="1:5" x14ac:dyDescent="0.2">
      <c r="A13" t="s">
        <v>97</v>
      </c>
      <c r="B13" t="s">
        <v>98</v>
      </c>
    </row>
    <row r="14" spans="1:5" x14ac:dyDescent="0.2">
      <c r="A14" t="s">
        <v>99</v>
      </c>
      <c r="B14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1A7B-5330-054D-9C61-5017E2D1A190}">
  <dimension ref="A1:P23"/>
  <sheetViews>
    <sheetView showGridLines="0" tabSelected="1" workbookViewId="0">
      <selection activeCell="Q12" sqref="Q12"/>
    </sheetView>
  </sheetViews>
  <sheetFormatPr baseColWidth="10" defaultRowHeight="16" x14ac:dyDescent="0.2"/>
  <cols>
    <col min="1" max="1" width="12" customWidth="1"/>
    <col min="2" max="13" width="9.6640625" customWidth="1"/>
    <col min="14" max="14" width="12" customWidth="1"/>
  </cols>
  <sheetData>
    <row r="1" spans="1:16" ht="34" customHeight="1" x14ac:dyDescent="0.2">
      <c r="A1" s="35" t="s">
        <v>129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9"/>
      <c r="P1" s="8"/>
    </row>
    <row r="2" spans="1:16" ht="22" customHeight="1" x14ac:dyDescent="0.2">
      <c r="A2" s="36" t="s">
        <v>130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9"/>
      <c r="P2" s="8"/>
    </row>
    <row r="3" spans="1:16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9"/>
      <c r="P3" s="8"/>
    </row>
    <row r="4" spans="1:16" ht="25" customHeight="1" x14ac:dyDescent="0.2">
      <c r="A4" s="17" t="s">
        <v>131</v>
      </c>
      <c r="B4" s="18"/>
      <c r="C4" s="18"/>
      <c r="D4" s="17" t="s">
        <v>133</v>
      </c>
      <c r="E4" s="18"/>
      <c r="F4" s="18"/>
      <c r="G4" s="24" t="s">
        <v>139</v>
      </c>
      <c r="H4" s="25"/>
      <c r="I4" s="25"/>
      <c r="J4" s="24" t="s">
        <v>135</v>
      </c>
      <c r="K4" s="25"/>
      <c r="L4" s="25"/>
      <c r="M4" s="25"/>
      <c r="N4" s="37"/>
      <c r="O4" s="9"/>
      <c r="P4" s="8"/>
    </row>
    <row r="5" spans="1:16" ht="25" customHeight="1" x14ac:dyDescent="0.2">
      <c r="A5" s="19">
        <f>'Pivot Analyze'!C6/'Pivot Analyze'!D6</f>
        <v>0.16122448979591836</v>
      </c>
      <c r="B5" s="20"/>
      <c r="C5" s="20"/>
      <c r="D5" s="23">
        <f>'Pivot Analyze'!D6</f>
        <v>1470</v>
      </c>
      <c r="E5" s="20"/>
      <c r="F5" s="20"/>
      <c r="G5" s="26" t="s">
        <v>37</v>
      </c>
      <c r="H5" s="27"/>
      <c r="I5" s="27"/>
      <c r="J5" s="38">
        <f>'Pivot Analyze'!I28/'Pivot Analyze'!J28</f>
        <v>0.30528846153846156</v>
      </c>
      <c r="K5" s="27"/>
      <c r="L5" s="27"/>
      <c r="M5" s="27"/>
      <c r="N5" s="39"/>
      <c r="O5" s="9"/>
      <c r="P5" s="8"/>
    </row>
    <row r="6" spans="1:16" ht="25" customHeight="1" x14ac:dyDescent="0.2">
      <c r="A6" s="21" t="s">
        <v>132</v>
      </c>
      <c r="B6" s="22"/>
      <c r="C6" s="22"/>
      <c r="D6" s="21" t="s">
        <v>134</v>
      </c>
      <c r="E6" s="22"/>
      <c r="F6" s="22"/>
      <c r="G6" s="21" t="str">
        <f>TEXT('Pivot Analyze'!E4,"0.00%")&amp;" attrition"</f>
        <v>20.63% attrition</v>
      </c>
      <c r="H6" s="22"/>
      <c r="I6" s="22"/>
      <c r="J6" s="21" t="str">
        <f>TEXT('Pivot Analyze'!K27,"0.00%")&amp;" without overtime"</f>
        <v>10.44% without overtime</v>
      </c>
      <c r="K6" s="22"/>
      <c r="L6" s="22"/>
      <c r="M6" s="22"/>
      <c r="N6" s="40"/>
      <c r="O6" s="9"/>
      <c r="P6" s="8"/>
    </row>
    <row r="7" spans="1:16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  <c r="P7" s="8"/>
    </row>
    <row r="8" spans="1:16" ht="24" customHeight="1" x14ac:dyDescent="0.2">
      <c r="A8" s="31" t="s">
        <v>136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9"/>
      <c r="P8" s="8"/>
    </row>
    <row r="9" spans="1:16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  <c r="P9" s="8"/>
    </row>
    <row r="10" spans="1:16" ht="31" customHeight="1" thickBot="1" x14ac:dyDescent="0.25">
      <c r="A10" s="32" t="str">
        <f>"1. Department — Sales has the highest attrition rate at "&amp;TEXT('Pivot Analyze'!E4,"0.00%")&amp;", while Research &amp; Development has the largest number of employees leaving ("&amp;'Pivot Analyze'!C3&amp;")."</f>
        <v>1. Department — Sales has the highest attrition rate at 20.63%, while Research &amp; Development has the largest number of employees leaving (133).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  <c r="O10" s="9"/>
      <c r="P10" s="8"/>
    </row>
    <row r="11" spans="1:16" ht="31" customHeight="1" x14ac:dyDescent="0.2">
      <c r="A11" s="11" t="str">
        <f>"2. Compensation — Employees who left earned "&amp;TEXT('Pivot Analyze'!C20,"$#,##0")&amp;" per month on average versus "&amp;TEXT('Pivot Analyze'!B20,"$#,##0")&amp;" among those who stayed."</f>
        <v>2. Compensation — Employees who left earned $4,787 per month on average versus $6,833 among those who stayed.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9"/>
      <c r="P11" s="8"/>
    </row>
    <row r="12" spans="1:16" ht="31" customHeight="1" x14ac:dyDescent="0.2">
      <c r="A12" s="28" t="str">
        <f>"3. Tenure — Attrition is highest during the first two years, reaching "&amp;TEXT('Pivot Analyze'!E24,"0%")&amp;" at Year 0 and "&amp;TEXT('Pivot Analyze'!E25,"0%")&amp;" at Year 1."</f>
        <v>3. Tenure — Attrition is highest during the first two years, reaching 36% at Year 0 and 35% at Year 1.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  <c r="O12" s="9"/>
      <c r="P12" s="8"/>
    </row>
    <row r="13" spans="1:16" ht="31" customHeight="1" x14ac:dyDescent="0.2">
      <c r="A13" s="11" t="str">
        <f>"4. Job Satisfaction — Employees with the lowest satisfaction had "&amp;TEXT('Pivot Analyze'!K3,"0%")&amp;" attrition, compared with "&amp;TEXT('Pivot Analyze'!K6,"0%")&amp;" among those with the highest satisfaction."</f>
        <v>4. Job Satisfaction — Employees with the lowest satisfaction had 23% attrition, compared with 11% among those with the highest satisfaction.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9"/>
      <c r="P13" s="8"/>
    </row>
    <row r="14" spans="1:16" ht="31" customHeight="1" x14ac:dyDescent="0.2">
      <c r="A14" s="28" t="str">
        <f>"5. Environment Satisfaction — The lowest-rated group had "&amp;TEXT('Pivot Analyze'!K11,"0%")&amp;" attrition, compared with "&amp;TEXT('Pivot Analyze'!K14,"0%")&amp;" for the highest-rated group."</f>
        <v>5. Environment Satisfaction — The lowest-rated group had 25% attrition, compared with 13% for the highest-rated group.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9"/>
      <c r="P14" s="8"/>
    </row>
    <row r="15" spans="1:16" ht="31" customHeight="1" x14ac:dyDescent="0.2">
      <c r="A15" s="11" t="s">
        <v>138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9"/>
      <c r="P15" s="8"/>
    </row>
    <row r="16" spans="1:16" ht="31" customHeight="1" x14ac:dyDescent="0.2">
      <c r="A16" s="14" t="str">
        <f>"7. Overtime — Employees working overtime had "&amp;TEXT('Pivot Analyze'!K28,"0%")&amp;" attrition, compared with "&amp;TEXT('Pivot Analyze'!K27,"0%")&amp;" among those who did not."</f>
        <v>7. Overtime — Employees working overtime had 31% attrition, compared with 10% among those who did not.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9"/>
      <c r="P16" s="8"/>
    </row>
    <row r="17" spans="1:16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9"/>
      <c r="P17" s="8"/>
    </row>
    <row r="18" spans="1:16" ht="24" customHeight="1" x14ac:dyDescent="0.2">
      <c r="A18" s="31" t="s">
        <v>137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9"/>
      <c r="P18" s="8"/>
    </row>
    <row r="19" spans="1:16" ht="30" customHeight="1" thickBot="1" x14ac:dyDescent="0.25">
      <c r="A19" s="32" t="s">
        <v>140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  <c r="O19" s="9"/>
      <c r="P19" s="8"/>
    </row>
    <row r="20" spans="1:16" ht="30" customHeight="1" x14ac:dyDescent="0.2">
      <c r="A20" s="11" t="s">
        <v>141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  <c r="O20" s="9"/>
      <c r="P20" s="8"/>
    </row>
    <row r="21" spans="1:16" ht="30" customHeight="1" x14ac:dyDescent="0.2">
      <c r="A21" s="14" t="s">
        <v>142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9"/>
      <c r="P21" s="8"/>
    </row>
    <row r="22" spans="1:16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8"/>
    </row>
    <row r="23" spans="1:16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</sheetData>
  <mergeCells count="26">
    <mergeCell ref="A12:N12"/>
    <mergeCell ref="G6:I6"/>
    <mergeCell ref="J4:N4"/>
    <mergeCell ref="J5:N5"/>
    <mergeCell ref="J6:N6"/>
    <mergeCell ref="A1:N1"/>
    <mergeCell ref="A2:N2"/>
    <mergeCell ref="A8:N8"/>
    <mergeCell ref="A10:N10"/>
    <mergeCell ref="A11:N11"/>
    <mergeCell ref="A20:N20"/>
    <mergeCell ref="A21:N21"/>
    <mergeCell ref="A4:C4"/>
    <mergeCell ref="A5:C5"/>
    <mergeCell ref="A6:C6"/>
    <mergeCell ref="D4:F4"/>
    <mergeCell ref="D5:F5"/>
    <mergeCell ref="D6:F6"/>
    <mergeCell ref="G4:I4"/>
    <mergeCell ref="G5:I5"/>
    <mergeCell ref="A13:N13"/>
    <mergeCell ref="A14:N14"/>
    <mergeCell ref="A15:N15"/>
    <mergeCell ref="A16:N16"/>
    <mergeCell ref="A18:N18"/>
    <mergeCell ref="A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WA_Fn-UseC_-HR-Employee-Attriti</vt:lpstr>
      <vt:lpstr>Pivot Analyze</vt:lpstr>
      <vt:lpstr>Cleaned Data</vt:lpstr>
      <vt:lpstr>Data Quality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Glitz Babe</dc:creator>
  <cp:lastModifiedBy>Glitz Babe</cp:lastModifiedBy>
  <dcterms:created xsi:type="dcterms:W3CDTF">2026-09-23T18:02:05Z</dcterms:created>
  <dcterms:modified xsi:type="dcterms:W3CDTF">2026-09-25T20:05:13Z</dcterms:modified>
</cp:coreProperties>
</file>